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计划说明" sheetId="1" state="visible" r:id="rId3"/>
    <sheet name="硬件测试项" sheetId="2" state="visible" r:id="rId4"/>
    <sheet name="软件功能测试项" sheetId="3" state="visible" r:id="rId5"/>
    <sheet name="测试结果汇总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<sst xmlns="http://schemas.openxmlformats.org/spreadsheetml/2006/main" count="319" uniqueCount="257">
  <si>
    <t xml:space="preserve">自动数字显微镜扫描系统 —— 出厂测试计划</t>
  </si>
  <si>
    <t xml:space="preserve">适用范围：厦门海德心活细胞成像采集软件及配套硬件设备出厂前验收测试</t>
  </si>
  <si>
    <t xml:space="preserve">一、测试目的</t>
  </si>
  <si>
    <t xml:space="preserve">依据《软件用户手册》所述功能，对出厂前设备的硬件性能与软件功能逐项验证，确保设备到达客户现场后可直接投入正常使用。</t>
  </si>
  <si>
    <t xml:space="preserve">二、测试范围</t>
  </si>
  <si>
    <r>
      <rPr>
        <sz val="10"/>
        <rFont val="Noto Sans CJK SC"/>
        <family val="2"/>
      </rPr>
      <t xml:space="preserve">硬件测试：相机、平台</t>
    </r>
    <r>
      <rPr>
        <sz val="10"/>
        <rFont val="Arial"/>
        <family val="0"/>
        <charset val="1"/>
      </rPr>
      <t xml:space="preserve">(X/Y/Z)</t>
    </r>
    <r>
      <rPr>
        <sz val="10"/>
        <rFont val="Noto Sans CJK SC"/>
        <family val="2"/>
      </rPr>
      <t xml:space="preserve">、物镜转换器、控制器、荧光光源、上下片机、油泵、整机稳定性；</t>
    </r>
  </si>
  <si>
    <r>
      <rPr>
        <sz val="10"/>
        <rFont val="Noto Sans CJK SC"/>
        <family val="2"/>
      </rPr>
      <t xml:space="preserve">软件功能测试：基本设置、设备校准、相机设置、平台操控、物镜与对焦、荧光设置、样本预览、样本扫描、多片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多区域扫描、预览扫描、结果浏览、计数功能、荧光扫描、细胞扫描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如配置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</si>
  <si>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三、测试顺序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</si>
  <si>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硬件连接检查（相机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控制器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光源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片机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油泵通电与通信）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</si>
  <si>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设备校准（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轴、</t>
    </r>
    <r>
      <rPr>
        <sz val="10"/>
        <rFont val="Arial"/>
        <family val="0"/>
        <charset val="1"/>
      </rPr>
      <t xml:space="preserve">X/Y</t>
    </r>
    <r>
      <rPr>
        <sz val="10"/>
        <rFont val="Noto Sans CJK SC"/>
        <family val="2"/>
      </rPr>
      <t xml:space="preserve">轴、正交性、视场宽度、共轴性、斜率校准）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</si>
  <si>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软件单模块功能测试（按“软件功能测试项”工作表逐项验证）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</si>
  <si>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端到端流程测试（新建扫描→样本预览→样本扫描→结果浏览→计数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荧光扫描）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</si>
  <si>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整机稳定性与耐久测试（连续扫描≥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小时）</t>
    </r>
  </si>
  <si>
    <t xml:space="preserve">四、测试环境记录（测试前填写）</t>
  </si>
  <si>
    <r>
      <rPr>
        <sz val="10"/>
        <rFont val="Noto Sans CJK SC"/>
        <family val="2"/>
      </rPr>
      <t xml:space="preserve">软件版本：</t>
    </r>
    <r>
      <rPr>
        <sz val="10"/>
        <rFont val="Arial"/>
        <family val="0"/>
        <charset val="1"/>
      </rPr>
      <t xml:space="preserve">__________</t>
    </r>
    <r>
      <rPr>
        <sz val="10"/>
        <rFont val="Noto Sans CJK SC"/>
        <family val="2"/>
      </rPr>
      <t xml:space="preserve">　相机型号：</t>
    </r>
    <r>
      <rPr>
        <sz val="10"/>
        <rFont val="Arial"/>
        <family val="0"/>
        <charset val="1"/>
      </rPr>
      <t xml:space="preserve">__________</t>
    </r>
    <r>
      <rPr>
        <sz val="10"/>
        <rFont val="Noto Sans CJK SC"/>
        <family val="2"/>
      </rPr>
      <t xml:space="preserve">　控制器型号：</t>
    </r>
    <r>
      <rPr>
        <sz val="10"/>
        <rFont val="Arial"/>
        <family val="0"/>
        <charset val="1"/>
      </rPr>
      <t xml:space="preserve">__________</t>
    </r>
  </si>
  <si>
    <r>
      <rPr>
        <sz val="10"/>
        <rFont val="Noto Sans CJK SC"/>
        <family val="2"/>
      </rPr>
      <t xml:space="preserve">物镜配置：</t>
    </r>
    <r>
      <rPr>
        <sz val="10"/>
        <rFont val="Arial"/>
        <family val="0"/>
        <charset val="1"/>
      </rPr>
      <t xml:space="preserve">__________</t>
    </r>
    <r>
      <rPr>
        <sz val="10"/>
        <rFont val="Noto Sans CJK SC"/>
        <family val="2"/>
      </rPr>
      <t xml:space="preserve">　荧光光源型号：</t>
    </r>
    <r>
      <rPr>
        <sz val="10"/>
        <rFont val="Arial"/>
        <family val="0"/>
        <charset val="1"/>
      </rPr>
      <t xml:space="preserve">__________</t>
    </r>
    <r>
      <rPr>
        <sz val="10"/>
        <rFont val="Noto Sans CJK SC"/>
        <family val="2"/>
      </rPr>
      <t xml:space="preserve">　是否配备上下片机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油泵：</t>
    </r>
    <r>
      <rPr>
        <sz val="10"/>
        <rFont val="Arial"/>
        <family val="0"/>
        <charset val="1"/>
      </rPr>
      <t xml:space="preserve">__________</t>
    </r>
  </si>
  <si>
    <t xml:space="preserve">五、判定标准</t>
  </si>
  <si>
    <r>
      <rPr>
        <sz val="10"/>
        <rFont val="Noto Sans CJK SC"/>
        <family val="2"/>
      </rPr>
      <t xml:space="preserve">“通过”：功能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性能达到手册描述及验收标准，无异常；</t>
    </r>
  </si>
  <si>
    <t xml:space="preserve">“不通过”：功能缺失、性能不达标或出现手册“故障诊断”章节所列异常现象；</t>
  </si>
  <si>
    <t xml:space="preserve">“不适用”：该设备未配置对应选配件或功能（如荧光模块、片机、油泵、细胞扫描等）。</t>
  </si>
  <si>
    <t xml:space="preserve">六、异常追溯</t>
  </si>
  <si>
    <r>
      <rPr>
        <sz val="10"/>
        <rFont val="Noto Sans CJK SC"/>
        <family val="2"/>
      </rPr>
      <t xml:space="preserve">测试中出现异常，优先对照手册《十八、故障诊断》章节排查（相机无图像、对焦失败、拼接错位、扫描拖影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模糊、条码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标签识别错误等），并在“备注”栏记录处理结果。</t>
    </r>
  </si>
  <si>
    <t xml:space="preserve">七、测试记录与归档</t>
  </si>
  <si>
    <t xml:space="preserve">每项测试需填写测试人、测试日期、测试结果；测试完成后由质量负责人签字确认，测试报告随设备出厂资料一并归档。</t>
  </si>
  <si>
    <t xml:space="preserve">硬件测试项</t>
  </si>
  <si>
    <r>
      <rPr>
        <i val="true"/>
        <sz val="10"/>
        <color rgb="FF595959"/>
        <rFont val="Noto Sans CJK SC"/>
        <family val="2"/>
      </rPr>
      <t xml:space="preserve">对照《软件用户手册》基本设置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Noto Sans CJK SC"/>
        <family val="2"/>
      </rPr>
      <t xml:space="preserve">设备校准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Noto Sans CJK SC"/>
        <family val="2"/>
      </rPr>
      <t xml:space="preserve">平台操控等章节整理</t>
    </r>
  </si>
  <si>
    <t xml:space="preserve">序号</t>
  </si>
  <si>
    <t xml:space="preserve">测试模块</t>
  </si>
  <si>
    <t xml:space="preserve">测试项</t>
  </si>
  <si>
    <r>
      <rPr>
        <b val="true"/>
        <sz val="10"/>
        <color rgb="FFFFFFFF"/>
        <rFont val="Noto Sans CJK SC"/>
        <family val="2"/>
      </rPr>
      <t xml:space="preserve">验收标准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测试内容</t>
    </r>
  </si>
  <si>
    <t xml:space="preserve">手册依据章节</t>
  </si>
  <si>
    <t xml:space="preserve">测试结果</t>
  </si>
  <si>
    <t xml:space="preserve">测试人</t>
  </si>
  <si>
    <t xml:space="preserve">测试日期</t>
  </si>
  <si>
    <t xml:space="preserve">备注</t>
  </si>
  <si>
    <t xml:space="preserve">相机</t>
  </si>
  <si>
    <r>
      <rPr>
        <sz val="10"/>
        <rFont val="Arial"/>
        <family val="0"/>
        <charset val="1"/>
      </rPr>
      <t xml:space="preserve">USB/</t>
    </r>
    <r>
      <rPr>
        <sz val="10"/>
        <rFont val="Noto Sans CJK SC"/>
        <family val="2"/>
      </rPr>
      <t xml:space="preserve">网络连接与驱动识别</t>
    </r>
  </si>
  <si>
    <t xml:space="preserve">相机在设备列表中被正确识别，可手动刷新列表</t>
  </si>
  <si>
    <t xml:space="preserve">三、相机设置</t>
  </si>
  <si>
    <t xml:space="preserve">图像分辨率支持</t>
  </si>
  <si>
    <t xml:space="preserve">支持标称最高分辨率且可正常出图</t>
  </si>
  <si>
    <r>
      <rPr>
        <sz val="10"/>
        <rFont val="Noto Sans CJK SC"/>
        <family val="2"/>
      </rPr>
      <t xml:space="preserve">帧率</t>
    </r>
    <r>
      <rPr>
        <sz val="10"/>
        <rFont val="Arial"/>
        <family val="0"/>
        <charset val="1"/>
      </rPr>
      <t xml:space="preserve">(FPS)</t>
    </r>
  </si>
  <si>
    <r>
      <rPr>
        <sz val="10"/>
        <rFont val="Noto Sans CJK SC"/>
        <family val="2"/>
      </rPr>
      <t xml:space="preserve">达到标称帧率，参考底部状态栏</t>
    </r>
    <r>
      <rPr>
        <sz val="10"/>
        <rFont val="Arial"/>
        <family val="0"/>
        <charset val="1"/>
      </rPr>
      <t xml:space="preserve">FPS</t>
    </r>
    <r>
      <rPr>
        <sz val="10"/>
        <rFont val="Noto Sans CJK SC"/>
        <family val="2"/>
      </rPr>
      <t xml:space="preserve">显示</t>
    </r>
  </si>
  <si>
    <t xml:space="preserve">十九、疑问解答</t>
  </si>
  <si>
    <r>
      <rPr>
        <sz val="10"/>
        <rFont val="Noto Sans CJK SC"/>
        <family val="2"/>
      </rPr>
      <t xml:space="preserve">自动曝光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自动白平衡</t>
    </r>
  </si>
  <si>
    <t xml:space="preserve">开启后画面亮度、色温可自动收敛并稳定</t>
  </si>
  <si>
    <t xml:space="preserve">图像翻转设置</t>
  </si>
  <si>
    <t xml:space="preserve">根据安装角度设置后画面方向正确，不影响拼接</t>
  </si>
  <si>
    <r>
      <rPr>
        <sz val="10"/>
        <rFont val="Arial"/>
        <family val="0"/>
        <charset val="1"/>
      </rPr>
      <t xml:space="preserve">ROI</t>
    </r>
    <r>
      <rPr>
        <sz val="10"/>
        <rFont val="Noto Sans CJK SC"/>
        <family val="2"/>
      </rPr>
      <t xml:space="preserve">兴趣区域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裁黑角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</si>
  <si>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设置后黑角被裁除，自动曝光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白平衡基于</t>
    </r>
    <r>
      <rPr>
        <sz val="10"/>
        <rFont val="Arial"/>
        <family val="0"/>
        <charset val="1"/>
      </rPr>
      <t xml:space="preserve">ROI</t>
    </r>
    <r>
      <rPr>
        <sz val="10"/>
        <rFont val="Noto Sans CJK SC"/>
        <family val="2"/>
      </rPr>
      <t xml:space="preserve">区域</t>
    </r>
  </si>
  <si>
    <r>
      <rPr>
        <b val="true"/>
        <sz val="10"/>
        <rFont val="Noto Sans CJK SC"/>
        <family val="2"/>
      </rPr>
      <t xml:space="preserve">平台</t>
    </r>
    <r>
      <rPr>
        <b val="true"/>
        <sz val="10"/>
        <rFont val="Arial"/>
        <family val="0"/>
        <charset val="1"/>
      </rPr>
      <t xml:space="preserve">(X/Y/Z)</t>
    </r>
  </si>
  <si>
    <t xml:space="preserve">行程范围</t>
  </si>
  <si>
    <t xml:space="preserve">与标称参数一致，移动至边界无异响、无撞机</t>
  </si>
  <si>
    <r>
      <rPr>
        <sz val="10"/>
        <rFont val="Noto Sans CJK SC"/>
        <family val="2"/>
      </rPr>
      <t xml:space="preserve">一、基本设置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平台设置</t>
    </r>
    <r>
      <rPr>
        <sz val="10"/>
        <rFont val="Arial"/>
        <family val="0"/>
        <charset val="1"/>
      </rPr>
      <t xml:space="preserve">)</t>
    </r>
  </si>
  <si>
    <t xml:space="preserve">最大运行速度</t>
  </si>
  <si>
    <t xml:space="preserve">达到标称速度上限，运行平稳无丢步</t>
  </si>
  <si>
    <r>
      <rPr>
        <sz val="10"/>
        <rFont val="Noto Sans CJK SC"/>
        <family val="2"/>
      </rPr>
      <t xml:space="preserve">定位精度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微米级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</si>
  <si>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绝对定位与相对移动误差在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微米以内</t>
    </r>
  </si>
  <si>
    <t xml:space="preserve">四、平台操控</t>
  </si>
  <si>
    <r>
      <rPr>
        <sz val="10"/>
        <rFont val="Noto Sans CJK SC"/>
        <family val="2"/>
      </rPr>
      <t xml:space="preserve">归位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出片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进片动作</t>
    </r>
  </si>
  <si>
    <r>
      <rPr>
        <sz val="10"/>
        <rFont val="Noto Sans CJK SC"/>
        <family val="2"/>
      </rPr>
      <t xml:space="preserve">动作到位准确，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轴可正确到达焦点位置</t>
    </r>
  </si>
  <si>
    <t xml:space="preserve">行程限位保护</t>
  </si>
  <si>
    <t xml:space="preserve">触碰行程边界时平台自动停止，无损坏</t>
  </si>
  <si>
    <r>
      <rPr>
        <sz val="10"/>
        <rFont val="Noto Sans CJK SC"/>
        <family val="2"/>
      </rPr>
      <t xml:space="preserve">释放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去使能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手动移动</t>
    </r>
  </si>
  <si>
    <t xml:space="preserve">释放后可手工推动平台，无异常阻力</t>
  </si>
  <si>
    <t xml:space="preserve">物镜转换器</t>
  </si>
  <si>
    <t xml:space="preserve">电动切换到位精度</t>
  </si>
  <si>
    <t xml:space="preserve">切换后目标物基本停留在视场范围内</t>
  </si>
  <si>
    <t xml:space="preserve">五、物镜设置</t>
  </si>
  <si>
    <r>
      <rPr>
        <sz val="10"/>
        <rFont val="Noto Sans CJK SC"/>
        <family val="2"/>
      </rPr>
      <t xml:space="preserve">物镜共轴性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校准后复核</t>
    </r>
    <r>
      <rPr>
        <sz val="10"/>
        <rFont val="Arial"/>
        <family val="0"/>
        <charset val="1"/>
      </rPr>
      <t xml:space="preserve">)</t>
    </r>
  </si>
  <si>
    <t xml:space="preserve">校准后切换物镜目标物偏移在容差范围内</t>
  </si>
  <si>
    <t xml:space="preserve">二、设备校准</t>
  </si>
  <si>
    <t xml:space="preserve">控制器</t>
  </si>
  <si>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通信连接</t>
    </r>
  </si>
  <si>
    <r>
      <rPr>
        <sz val="10"/>
        <rFont val="Noto Sans CJK SC"/>
        <family val="2"/>
      </rPr>
      <t xml:space="preserve">电脑与控制器可正常</t>
    </r>
    <r>
      <rPr>
        <sz val="10"/>
        <rFont val="Arial"/>
        <family val="0"/>
        <charset val="1"/>
      </rPr>
      <t xml:space="preserve">ping</t>
    </r>
    <r>
      <rPr>
        <sz val="10"/>
        <rFont val="Noto Sans CJK SC"/>
        <family val="2"/>
      </rPr>
      <t xml:space="preserve">通并建立通信</t>
    </r>
  </si>
  <si>
    <r>
      <rPr>
        <sz val="10"/>
        <rFont val="Noto Sans CJK SC"/>
        <family val="2"/>
      </rPr>
      <t xml:space="preserve">一、基本设置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控制器设置</t>
    </r>
    <r>
      <rPr>
        <sz val="10"/>
        <rFont val="Arial"/>
        <family val="0"/>
        <charset val="1"/>
      </rPr>
      <t xml:space="preserve">)</t>
    </r>
  </si>
  <si>
    <t xml:space="preserve">秘钥校验</t>
  </si>
  <si>
    <t xml:space="preserve">错误秘钥拒绝访问，正确秘钥可正常连接</t>
  </si>
  <si>
    <t xml:space="preserve">断线自动重连</t>
  </si>
  <si>
    <r>
      <rPr>
        <sz val="10"/>
        <rFont val="Noto Sans CJK SC"/>
        <family val="2"/>
      </rPr>
      <t xml:space="preserve">断电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断网后控制器可自动恢复连接</t>
    </r>
  </si>
  <si>
    <t xml:space="preserve">荧光光源</t>
  </si>
  <si>
    <t xml:space="preserve">各通道点亮测试</t>
  </si>
  <si>
    <r>
      <rPr>
        <sz val="10"/>
        <rFont val="Noto Sans CJK SC"/>
        <family val="2"/>
      </rPr>
      <t xml:space="preserve">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红等各荧光通道均可正常点亮</t>
    </r>
  </si>
  <si>
    <t xml:space="preserve">六、荧光设置</t>
  </si>
  <si>
    <t xml:space="preserve">亮度可调性</t>
  </si>
  <si>
    <t xml:space="preserve">亮度调节线性、无明显闪烁</t>
  </si>
  <si>
    <t xml:space="preserve">十六、荧光扫描</t>
  </si>
  <si>
    <t xml:space="preserve">上下片机</t>
  </si>
  <si>
    <r>
      <rPr>
        <sz val="10"/>
        <rFont val="Noto Sans CJK SC"/>
        <family val="2"/>
      </rPr>
      <t xml:space="preserve">装片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卸片动作</t>
    </r>
  </si>
  <si>
    <t xml:space="preserve">动作顺畅，无卡片、无损片</t>
  </si>
  <si>
    <t xml:space="preserve">七、片机设置</t>
  </si>
  <si>
    <t xml:space="preserve">随机上片功能</t>
  </si>
  <si>
    <t xml:space="preserve">支持任意槽位取放片，且状态识别正确</t>
  </si>
  <si>
    <t xml:space="preserve">槽位状态刷新</t>
  </si>
  <si>
    <r>
      <rPr>
        <sz val="10"/>
        <rFont val="Noto Sans CJK SC"/>
        <family val="2"/>
      </rPr>
      <t xml:space="preserve">占用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空闲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已扫描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正扫描等状态显示准确</t>
    </r>
  </si>
  <si>
    <r>
      <rPr>
        <b val="true"/>
        <sz val="10"/>
        <rFont val="Noto Sans CJK SC"/>
        <family val="2"/>
      </rPr>
      <t xml:space="preserve">油泵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选配</t>
    </r>
    <r>
      <rPr>
        <b val="true"/>
        <sz val="10"/>
        <rFont val="Arial"/>
        <family val="0"/>
        <charset val="1"/>
      </rPr>
      <t xml:space="preserve">)</t>
    </r>
  </si>
  <si>
    <t xml:space="preserve">正转滴油</t>
  </si>
  <si>
    <t xml:space="preserve">滴油量稳定、滴油位置准确</t>
  </si>
  <si>
    <t xml:space="preserve">八、油泵设置</t>
  </si>
  <si>
    <t xml:space="preserve">反转吸油</t>
  </si>
  <si>
    <t xml:space="preserve">可将管内余油吸回，无残留滴漏</t>
  </si>
  <si>
    <t xml:space="preserve">转速与持续时间控制</t>
  </si>
  <si>
    <r>
      <rPr>
        <sz val="10"/>
        <rFont val="Noto Sans CJK SC"/>
        <family val="2"/>
      </rPr>
      <t xml:space="preserve">参数设置生效，持续时间为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时可手工停止</t>
    </r>
  </si>
  <si>
    <t xml:space="preserve">整机</t>
  </si>
  <si>
    <r>
      <rPr>
        <sz val="10"/>
        <rFont val="Noto Sans CJK SC"/>
        <family val="2"/>
      </rPr>
      <t xml:space="preserve">连续扫描稳定性</t>
    </r>
    <r>
      <rPr>
        <sz val="10"/>
        <rFont val="Arial"/>
        <family val="0"/>
        <charset val="1"/>
      </rPr>
      <t xml:space="preserve">(≥4</t>
    </r>
    <r>
      <rPr>
        <sz val="10"/>
        <rFont val="Noto Sans CJK SC"/>
        <family val="2"/>
      </rPr>
      <t xml:space="preserve">小时</t>
    </r>
    <r>
      <rPr>
        <sz val="10"/>
        <rFont val="Arial"/>
        <family val="0"/>
        <charset val="1"/>
      </rPr>
      <t xml:space="preserve">)</t>
    </r>
  </si>
  <si>
    <t xml:space="preserve">无死机、无过热报警、无图像丢失</t>
  </si>
  <si>
    <t xml:space="preserve">十八、故障诊断</t>
  </si>
  <si>
    <t xml:space="preserve">设备启动顺序无关性</t>
  </si>
  <si>
    <r>
      <rPr>
        <sz val="10"/>
        <rFont val="Noto Sans CJK SC"/>
        <family val="2"/>
      </rPr>
      <t xml:space="preserve">相机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控制器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软件任意顺序启动均可正常连接</t>
    </r>
  </si>
  <si>
    <r>
      <rPr>
        <i val="true"/>
        <sz val="9"/>
        <color rgb="FF7F7F7F"/>
        <rFont val="Noto Sans CJK SC"/>
        <family val="2"/>
      </rPr>
      <t xml:space="preserve">注：测试结果请从下拉列表选择“通过 </t>
    </r>
    <r>
      <rPr>
        <i val="true"/>
        <sz val="9"/>
        <color rgb="FF7F7F7F"/>
        <rFont val="Arial"/>
        <family val="0"/>
        <charset val="1"/>
      </rPr>
      <t xml:space="preserve">/ </t>
    </r>
    <r>
      <rPr>
        <i val="true"/>
        <sz val="9"/>
        <color rgb="FF7F7F7F"/>
        <rFont val="Noto Sans CJK SC"/>
        <family val="2"/>
      </rPr>
      <t xml:space="preserve">不通过 </t>
    </r>
    <r>
      <rPr>
        <i val="true"/>
        <sz val="9"/>
        <color rgb="FF7F7F7F"/>
        <rFont val="Arial"/>
        <family val="0"/>
        <charset val="1"/>
      </rPr>
      <t xml:space="preserve">/ </t>
    </r>
    <r>
      <rPr>
        <i val="true"/>
        <sz val="9"/>
        <color rgb="FF7F7F7F"/>
        <rFont val="Noto Sans CJK SC"/>
        <family val="2"/>
      </rPr>
      <t xml:space="preserve">不适用”。选配件（如油泵）如未配置，选择“不适用”。</t>
    </r>
  </si>
  <si>
    <t xml:space="preserve">软件功能测试项</t>
  </si>
  <si>
    <r>
      <rPr>
        <i val="true"/>
        <sz val="10"/>
        <color rgb="FF595959"/>
        <rFont val="Noto Sans CJK SC"/>
        <family val="2"/>
      </rPr>
      <t xml:space="preserve">对照《软件用户手册》各功能章节（一</t>
    </r>
    <r>
      <rPr>
        <i val="true"/>
        <sz val="10"/>
        <color rgb="FF595959"/>
        <rFont val="Arial"/>
        <family val="0"/>
        <charset val="1"/>
      </rPr>
      <t xml:space="preserve">~</t>
    </r>
    <r>
      <rPr>
        <i val="true"/>
        <sz val="10"/>
        <color rgb="FF595959"/>
        <rFont val="Noto Sans CJK SC"/>
        <family val="2"/>
      </rPr>
      <t xml:space="preserve">十七章）逐项整理</t>
    </r>
  </si>
  <si>
    <t xml:space="preserve">基本设置</t>
  </si>
  <si>
    <t xml:space="preserve">中英文语言切换</t>
  </si>
  <si>
    <t xml:space="preserve">切换后界面文字正确显示，无乱码或未翻译项</t>
  </si>
  <si>
    <t xml:space="preserve">一、基本设置</t>
  </si>
  <si>
    <r>
      <rPr>
        <sz val="10"/>
        <rFont val="Noto Sans CJK SC"/>
        <family val="2"/>
      </rPr>
      <t xml:space="preserve">功能权限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全部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鉴权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扫描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浏览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</si>
  <si>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设为“鉴权”后需账号密码登录，缺省</t>
    </r>
    <r>
      <rPr>
        <sz val="10"/>
        <rFont val="Arial"/>
        <family val="0"/>
        <charset val="1"/>
      </rPr>
      <t xml:space="preserve">admin/admin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scan/scan</t>
    </r>
    <r>
      <rPr>
        <sz val="10"/>
        <rFont val="Noto Sans CJK SC"/>
        <family val="2"/>
      </rPr>
      <t xml:space="preserve">有效</t>
    </r>
  </si>
  <si>
    <t xml:space="preserve">配置文件备份与恢复</t>
  </si>
  <si>
    <t xml:space="preserve">备份文件可正确恢复并在重启后生效</t>
  </si>
  <si>
    <r>
      <rPr>
        <sz val="10"/>
        <rFont val="Noto Sans CJK SC"/>
        <family val="2"/>
      </rPr>
      <t xml:space="preserve">一、基本设置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十九、</t>
    </r>
    <r>
      <rPr>
        <sz val="10"/>
        <rFont val="Arial"/>
        <family val="0"/>
        <charset val="1"/>
      </rPr>
      <t xml:space="preserve">FAQ</t>
    </r>
  </si>
  <si>
    <r>
      <rPr>
        <sz val="10"/>
        <rFont val="Noto Sans CJK SC"/>
        <family val="2"/>
      </rPr>
      <t xml:space="preserve">预览相机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预览扫描开关</t>
    </r>
  </si>
  <si>
    <t xml:space="preserve">开关生效后对应界面按钮与流程随之变化</t>
  </si>
  <si>
    <r>
      <rPr>
        <sz val="10"/>
        <rFont val="Noto Sans CJK SC"/>
        <family val="2"/>
      </rPr>
      <t xml:space="preserve">一、基本设置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十三、预览扫描</t>
    </r>
  </si>
  <si>
    <t xml:space="preserve">设备校准</t>
  </si>
  <si>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轴对焦校准</t>
    </r>
  </si>
  <si>
    <t xml:space="preserve">校准后对焦成功率与准确性提升，无挤压样本风险</t>
  </si>
  <si>
    <r>
      <rPr>
        <sz val="10"/>
        <rFont val="Arial"/>
        <family val="0"/>
        <charset val="1"/>
      </rPr>
      <t xml:space="preserve">X/Y</t>
    </r>
    <r>
      <rPr>
        <sz val="10"/>
        <rFont val="Noto Sans CJK SC"/>
        <family val="2"/>
      </rPr>
      <t xml:space="preserve">轴中心校准</t>
    </r>
  </si>
  <si>
    <t xml:space="preserve">校准片中心与绿色十字线中心重合</t>
  </si>
  <si>
    <t xml:space="preserve">相机正交性校准</t>
  </si>
  <si>
    <t xml:space="preserve">旋转相机后十字线重合，扫描图像不倾斜</t>
  </si>
  <si>
    <t xml:space="preserve">视场宽度测定</t>
  </si>
  <si>
    <r>
      <rPr>
        <sz val="10"/>
        <rFont val="Noto Sans CJK SC"/>
        <family val="2"/>
      </rPr>
      <t xml:space="preserve">测定值准确，可正确换算为</t>
    </r>
    <r>
      <rPr>
        <sz val="10"/>
        <rFont val="Arial"/>
        <family val="0"/>
        <charset val="1"/>
      </rPr>
      <t xml:space="preserve">20X</t>
    </r>
    <r>
      <rPr>
        <sz val="10"/>
        <rFont val="Noto Sans CJK SC"/>
        <family val="2"/>
      </rPr>
      <t xml:space="preserve">下数值</t>
    </r>
  </si>
  <si>
    <t xml:space="preserve">物镜倍数校准</t>
  </si>
  <si>
    <t xml:space="preserve">实际倍数与标称偏差可通过修改数值校正</t>
  </si>
  <si>
    <t xml:space="preserve">物镜共轴校准</t>
  </si>
  <si>
    <t xml:space="preserve">校准后切换物镜目标物不偏离视场中心</t>
  </si>
  <si>
    <r>
      <rPr>
        <sz val="10"/>
        <rFont val="Arial"/>
        <family val="0"/>
        <charset val="1"/>
      </rPr>
      <t xml:space="preserve">X/Y</t>
    </r>
    <r>
      <rPr>
        <sz val="10"/>
        <rFont val="Noto Sans CJK SC"/>
        <family val="2"/>
      </rPr>
      <t xml:space="preserve">轴斜率校准</t>
    </r>
  </si>
  <si>
    <t xml:space="preserve">斜率校准后对焦成功率与扫描清晰度提升</t>
  </si>
  <si>
    <r>
      <rPr>
        <sz val="10"/>
        <rFont val="Noto Sans CJK SC"/>
        <family val="2"/>
      </rPr>
      <t xml:space="preserve">二、设备校准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十、样本扫描</t>
    </r>
  </si>
  <si>
    <t xml:space="preserve">相机设置</t>
  </si>
  <si>
    <r>
      <rPr>
        <sz val="10"/>
        <rFont val="Noto Sans CJK SC"/>
        <family val="2"/>
      </rPr>
      <t xml:space="preserve">图像格式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质量 </t>
    </r>
    <r>
      <rPr>
        <sz val="10"/>
        <rFont val="Arial"/>
        <family val="0"/>
        <charset val="1"/>
      </rPr>
      <t xml:space="preserve">/ DPI</t>
    </r>
    <r>
      <rPr>
        <sz val="10"/>
        <rFont val="Noto Sans CJK SC"/>
        <family val="2"/>
      </rPr>
      <t xml:space="preserve">设置</t>
    </r>
  </si>
  <si>
    <t xml:space="preserve">参数设置后抓拍与扫描图像符合预期规格</t>
  </si>
  <si>
    <r>
      <rPr>
        <sz val="10"/>
        <rFont val="Noto Sans CJK SC"/>
        <family val="2"/>
      </rPr>
      <t xml:space="preserve">电平范围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降噪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锐化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去雾</t>
    </r>
  </si>
  <si>
    <t xml:space="preserve">调节后图像对比度、清晰度对应改善</t>
  </si>
  <si>
    <t xml:space="preserve">像差修正</t>
  </si>
  <si>
    <t xml:space="preserve">使用网格校准片校正后色差与畸变明显减小</t>
  </si>
  <si>
    <t xml:space="preserve">平台操控</t>
  </si>
  <si>
    <t xml:space="preserve">测距功能</t>
  </si>
  <si>
    <t xml:space="preserve">测量结果与平台实际移动距离一致</t>
  </si>
  <si>
    <t xml:space="preserve">预设对焦点</t>
  </si>
  <si>
    <t xml:space="preserve">预设点保存正确，可用于跳过对焦直接扫描</t>
  </si>
  <si>
    <t xml:space="preserve">绝对定位功能</t>
  </si>
  <si>
    <t xml:space="preserve">输入坐标后平台准确到达指定位置</t>
  </si>
  <si>
    <r>
      <rPr>
        <sz val="10"/>
        <rFont val="Noto Sans CJK SC"/>
        <family val="2"/>
      </rPr>
      <t xml:space="preserve">速度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步长参数设置</t>
    </r>
  </si>
  <si>
    <t xml:space="preserve">参数设置生效，且受“最大速度”限制约束</t>
  </si>
  <si>
    <t xml:space="preserve">物镜与对焦</t>
  </si>
  <si>
    <t xml:space="preserve">颜色过滤对焦</t>
  </si>
  <si>
    <r>
      <rPr>
        <sz val="10"/>
        <rFont val="Noto Sans CJK SC"/>
        <family val="2"/>
      </rPr>
      <t xml:space="preserve">排除污渍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阴影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盖玻片干扰后对焦准确性提升</t>
    </r>
  </si>
  <si>
    <r>
      <rPr>
        <sz val="10"/>
        <rFont val="Noto Sans CJK SC"/>
        <family val="2"/>
      </rPr>
      <t xml:space="preserve">手动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快速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自动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全自动对焦</t>
    </r>
  </si>
  <si>
    <t xml:space="preserve">各模式均可成功完成对焦并保存结果</t>
  </si>
  <si>
    <r>
      <rPr>
        <sz val="10"/>
        <rFont val="Noto Sans CJK SC"/>
        <family val="2"/>
      </rPr>
      <t xml:space="preserve">对焦范围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对焦时间参数</t>
    </r>
  </si>
  <si>
    <t xml:space="preserve">参数调整后对焦速度与成功率相应变化</t>
  </si>
  <si>
    <t xml:space="preserve">荧光设置</t>
  </si>
  <si>
    <r>
      <rPr>
        <sz val="10"/>
        <rFont val="Noto Sans CJK SC"/>
        <family val="2"/>
      </rPr>
      <t xml:space="preserve">通道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槽位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名称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伪彩配置</t>
    </r>
  </si>
  <si>
    <t xml:space="preserve">配置保存正确，扫描时对应通道设置生效</t>
  </si>
  <si>
    <t xml:space="preserve">光源型号选择</t>
  </si>
  <si>
    <t xml:space="preserve">切换光源型号后功能运行正常</t>
  </si>
  <si>
    <t xml:space="preserve">样本预览</t>
  </si>
  <si>
    <t xml:space="preserve">新建扫描拍摄预览图</t>
  </si>
  <si>
    <t xml:space="preserve">预览图拍摄清晰；未连接相机时仿真预览图正常显示</t>
  </si>
  <si>
    <t xml:space="preserve">九、样本预览</t>
  </si>
  <si>
    <t xml:space="preserve">条码识别</t>
  </si>
  <si>
    <r>
      <rPr>
        <sz val="10"/>
        <rFont val="Noto Sans CJK SC"/>
        <family val="2"/>
      </rPr>
      <t xml:space="preserve">常见一维码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二维码识别准确率达标</t>
    </r>
  </si>
  <si>
    <r>
      <rPr>
        <sz val="10"/>
        <rFont val="Noto Sans CJK SC"/>
        <family val="2"/>
      </rPr>
      <t xml:space="preserve">标签</t>
    </r>
    <r>
      <rPr>
        <sz val="10"/>
        <rFont val="Arial"/>
        <family val="0"/>
        <charset val="1"/>
      </rPr>
      <t xml:space="preserve">OCR</t>
    </r>
    <r>
      <rPr>
        <sz val="10"/>
        <rFont val="Noto Sans CJK SC"/>
        <family val="2"/>
      </rPr>
      <t xml:space="preserve">文字识别</t>
    </r>
  </si>
  <si>
    <r>
      <rPr>
        <sz val="10"/>
        <rFont val="Noto Sans CJK SC"/>
        <family val="2"/>
      </rPr>
      <t xml:space="preserve">数字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英文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中文识别准确率达标，置信度过滤有效</t>
    </r>
  </si>
  <si>
    <t xml:space="preserve">扫描区域自动识别</t>
  </si>
  <si>
    <t xml:space="preserve">自动框选样本目标物范围准确</t>
  </si>
  <si>
    <t xml:space="preserve">样本扫描</t>
  </si>
  <si>
    <r>
      <rPr>
        <sz val="10"/>
        <rFont val="Noto Sans CJK SC"/>
        <family val="2"/>
      </rPr>
      <t xml:space="preserve">扫描对焦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各对焦模式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</si>
  <si>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手选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每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定制对焦模式均正常工作</t>
    </r>
  </si>
  <si>
    <t xml:space="preserve">十、样本扫描</t>
  </si>
  <si>
    <r>
      <rPr>
        <sz val="10"/>
        <rFont val="Noto Sans CJK SC"/>
        <family val="2"/>
      </rPr>
      <t xml:space="preserve">扫描模式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正常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快速</t>
    </r>
    <r>
      <rPr>
        <sz val="10"/>
        <rFont val="Arial"/>
        <family val="0"/>
        <charset val="1"/>
      </rPr>
      <t xml:space="preserve">/+)</t>
    </r>
  </si>
  <si>
    <t xml:space="preserve">各模式扫描速度与图像质量符合预期</t>
  </si>
  <si>
    <r>
      <rPr>
        <sz val="10"/>
        <rFont val="Noto Sans CJK SC"/>
        <family val="2"/>
      </rPr>
      <t xml:space="preserve">拼图模式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无缝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无缝</t>
    </r>
    <r>
      <rPr>
        <sz val="10"/>
        <rFont val="Arial"/>
        <family val="0"/>
        <charset val="1"/>
      </rPr>
      <t xml:space="preserve">+/</t>
    </r>
    <r>
      <rPr>
        <sz val="10"/>
        <rFont val="Noto Sans CJK SC"/>
        <family val="2"/>
      </rPr>
      <t xml:space="preserve">平铺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定制</t>
    </r>
    <r>
      <rPr>
        <sz val="10"/>
        <rFont val="Arial"/>
        <family val="0"/>
        <charset val="1"/>
      </rPr>
      <t xml:space="preserve">)</t>
    </r>
  </si>
  <si>
    <t xml:space="preserve">拼接图像无明显缝隙、无错位</t>
  </si>
  <si>
    <t xml:space="preserve">多层扫描与景深融合</t>
  </si>
  <si>
    <t xml:space="preserve">融合图像清晰，边缘检测参数调节有效</t>
  </si>
  <si>
    <t xml:space="preserve">匀光功能</t>
  </si>
  <si>
    <t xml:space="preserve">匀光后图像块状不均现象明显改善</t>
  </si>
  <si>
    <t xml:space="preserve">全景大图导出</t>
  </si>
  <si>
    <r>
      <rPr>
        <sz val="10"/>
        <rFont val="Noto Sans CJK SC"/>
        <family val="2"/>
      </rPr>
      <t xml:space="preserve">导出文件</t>
    </r>
    <r>
      <rPr>
        <sz val="10"/>
        <rFont val="Arial"/>
        <family val="0"/>
        <charset val="1"/>
      </rPr>
      <t xml:space="preserve">(SVS</t>
    </r>
    <r>
      <rPr>
        <sz val="10"/>
        <rFont val="Noto Sans CJK SC"/>
        <family val="2"/>
      </rPr>
      <t xml:space="preserve">等格式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可被</t>
    </r>
    <r>
      <rPr>
        <sz val="10"/>
        <rFont val="Arial"/>
        <family val="0"/>
        <charset val="1"/>
      </rPr>
      <t xml:space="preserve">ImageScope/QuPath</t>
    </r>
    <r>
      <rPr>
        <sz val="10"/>
        <rFont val="Noto Sans CJK SC"/>
        <family val="2"/>
      </rPr>
      <t xml:space="preserve">正常打开</t>
    </r>
  </si>
  <si>
    <r>
      <rPr>
        <sz val="10"/>
        <rFont val="Noto Sans CJK SC"/>
        <family val="2"/>
      </rPr>
      <t xml:space="preserve">停止扫描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删除扫描</t>
    </r>
  </si>
  <si>
    <t xml:space="preserve">停止后当前结果被清除，删除功能按预期工作</t>
  </si>
  <si>
    <t xml:space="preserve">多片扫描</t>
  </si>
  <si>
    <t xml:space="preserve">多样本连续扫描调度</t>
  </si>
  <si>
    <r>
      <rPr>
        <sz val="10"/>
        <rFont val="Noto Sans CJK SC"/>
        <family val="2"/>
      </rPr>
      <t xml:space="preserve">待扫描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不扫描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已扫描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正扫描状态切换正确</t>
    </r>
  </si>
  <si>
    <t xml:space="preserve">十一、多片扫描</t>
  </si>
  <si>
    <t xml:space="preserve">多区域扫描</t>
  </si>
  <si>
    <r>
      <rPr>
        <sz val="10"/>
        <rFont val="Noto Sans CJK SC"/>
        <family val="2"/>
      </rPr>
      <t xml:space="preserve">多重区域参数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行列数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偏移</t>
    </r>
    <r>
      <rPr>
        <sz val="10"/>
        <rFont val="Arial"/>
        <family val="0"/>
        <charset val="1"/>
      </rPr>
      <t xml:space="preserve">)</t>
    </r>
  </si>
  <si>
    <t xml:space="preserve">自动创建的扫描区域数量与位置正确</t>
  </si>
  <si>
    <t xml:space="preserve">十二、多区域扫描</t>
  </si>
  <si>
    <r>
      <rPr>
        <sz val="10"/>
        <rFont val="Noto Sans CJK SC"/>
        <family val="2"/>
      </rPr>
      <t xml:space="preserve">手动创建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禁用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删除扫描区域</t>
    </r>
  </si>
  <si>
    <r>
      <rPr>
        <sz val="10"/>
        <rFont val="Arial"/>
        <family val="0"/>
        <charset val="1"/>
      </rPr>
      <t xml:space="preserve">Ctrl+</t>
    </r>
    <r>
      <rPr>
        <sz val="10"/>
        <rFont val="Noto Sans CJK SC"/>
        <family val="2"/>
      </rPr>
      <t xml:space="preserve">左键、拖动等操作按预期生效</t>
    </r>
  </si>
  <si>
    <t xml:space="preserve">预览扫描</t>
  </si>
  <si>
    <t xml:space="preserve">低倍预览扫描替代预览相机</t>
  </si>
  <si>
    <t xml:space="preserve">扫描结果自动拼接并替换仿真预览图对应区域</t>
  </si>
  <si>
    <t xml:space="preserve">十三、预览扫描</t>
  </si>
  <si>
    <t xml:space="preserve">荧光预览扫描</t>
  </si>
  <si>
    <t xml:space="preserve">荧光通道预览扫描可正常显示透明样本轮廓</t>
  </si>
  <si>
    <t xml:space="preserve">结果浏览</t>
  </si>
  <si>
    <r>
      <rPr>
        <sz val="10"/>
        <rFont val="Noto Sans CJK SC"/>
        <family val="2"/>
      </rPr>
      <t xml:space="preserve">图像加载与缩放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旋转</t>
    </r>
  </si>
  <si>
    <t xml:space="preserve">加载速度正常，缩放旋转操作流畅</t>
  </si>
  <si>
    <t xml:space="preserve">十四、结果浏览</t>
  </si>
  <si>
    <t xml:space="preserve">标记与测量工具</t>
  </si>
  <si>
    <r>
      <rPr>
        <sz val="10"/>
        <rFont val="Noto Sans CJK SC"/>
        <family val="2"/>
      </rPr>
      <t xml:space="preserve">矩形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椭圆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直线等标记及测量数值准确</t>
    </r>
  </si>
  <si>
    <t xml:space="preserve">结果导出功能</t>
  </si>
  <si>
    <r>
      <rPr>
        <sz val="10"/>
        <rFont val="Noto Sans CJK SC"/>
        <family val="2"/>
      </rPr>
      <t xml:space="preserve">批量导出大图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预览图至指定目录成功</t>
    </r>
  </si>
  <si>
    <t xml:space="preserve">多窗口同步浏览</t>
  </si>
  <si>
    <t xml:space="preserve">多个独立结果窗口可同步缩放与移动</t>
  </si>
  <si>
    <t xml:space="preserve">计数功能</t>
  </si>
  <si>
    <t xml:space="preserve">明场目标物计数准确性</t>
  </si>
  <si>
    <t xml:space="preserve">自动识别数量与人工核对结果基本一致</t>
  </si>
  <si>
    <t xml:space="preserve">十五、计数功能</t>
  </si>
  <si>
    <t xml:space="preserve">荧光多通道计数</t>
  </si>
  <si>
    <t xml:space="preserve">阴阳性指标判定与计数报告结果正确</t>
  </si>
  <si>
    <r>
      <rPr>
        <sz val="10"/>
        <rFont val="Noto Sans CJK SC"/>
        <family val="2"/>
      </rPr>
      <t xml:space="preserve">十五、计数功能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十六、荧光扫描</t>
    </r>
  </si>
  <si>
    <r>
      <rPr>
        <sz val="10"/>
        <rFont val="Noto Sans CJK SC"/>
        <family val="2"/>
      </rPr>
      <t xml:space="preserve">计数结果导出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表格</t>
    </r>
    <r>
      <rPr>
        <sz val="10"/>
        <rFont val="Arial"/>
        <family val="0"/>
        <charset val="1"/>
      </rPr>
      <t xml:space="preserve">)</t>
    </r>
  </si>
  <si>
    <t xml:space="preserve">导出文件包含文件名、目标数量、路径等信息</t>
  </si>
  <si>
    <t xml:space="preserve">荧光扫描</t>
  </si>
  <si>
    <r>
      <rPr>
        <sz val="10"/>
        <rFont val="Noto Sans CJK SC"/>
        <family val="2"/>
      </rPr>
      <t xml:space="preserve">曝光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增益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电平范围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分通道</t>
    </r>
    <r>
      <rPr>
        <sz val="10"/>
        <rFont val="Arial"/>
        <family val="0"/>
        <charset val="1"/>
      </rPr>
      <t xml:space="preserve">)</t>
    </r>
  </si>
  <si>
    <t xml:space="preserve">各荧光通道参数可独立设置且实时生效</t>
  </si>
  <si>
    <t xml:space="preserve">通道对齐</t>
  </si>
  <si>
    <t xml:space="preserve">对齐后各通道图像间偏移基本消除</t>
  </si>
  <si>
    <t xml:space="preserve">扫描计划与光源模式</t>
  </si>
  <si>
    <r>
      <rPr>
        <sz val="10"/>
        <rFont val="Noto Sans CJK SC"/>
        <family val="2"/>
      </rPr>
      <t xml:space="preserve">通道优先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位置优先模式均可正常运行</t>
    </r>
  </si>
  <si>
    <r>
      <rPr>
        <b val="true"/>
        <sz val="10"/>
        <rFont val="Noto Sans CJK SC"/>
        <family val="2"/>
      </rPr>
      <t xml:space="preserve">细胞扫描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选配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</si>
  <si>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粗扫定位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精扫流程</t>
    </r>
  </si>
  <si>
    <t xml:space="preserve">低倍定位细胞位置准确，高倍逐个扫描无遗漏</t>
  </si>
  <si>
    <t xml:space="preserve">十七、细胞扫描</t>
  </si>
  <si>
    <t xml:space="preserve">滑窗合并与数量限制</t>
  </si>
  <si>
    <t xml:space="preserve">同滑窗内细胞合并一次拍摄；达到数量上限后停止</t>
  </si>
  <si>
    <t xml:space="preserve">注：细胞扫描为专用版软件功能，若本机未配置该模块，对应测试项选择“不适用”。</t>
  </si>
  <si>
    <t xml:space="preserve">测试结果汇总</t>
  </si>
  <si>
    <t xml:space="preserve">测试类别</t>
  </si>
  <si>
    <t xml:space="preserve">测试项总数</t>
  </si>
  <si>
    <t xml:space="preserve">通过数</t>
  </si>
  <si>
    <t xml:space="preserve">不通过数</t>
  </si>
  <si>
    <t xml:space="preserve">不适用数</t>
  </si>
  <si>
    <r>
      <rPr>
        <b val="true"/>
        <sz val="10"/>
        <color rgb="FFFFFFFF"/>
        <rFont val="Noto Sans CJK SC"/>
        <family val="2"/>
      </rPr>
      <t xml:space="preserve">通过率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</si>
  <si>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硬件测试</t>
  </si>
  <si>
    <t xml:space="preserve">软件功能测试</t>
  </si>
  <si>
    <t xml:space="preserve">合计</t>
  </si>
  <si>
    <t xml:space="preserve">注：本表格数据根据“硬件测试项”“软件功能测试项”工作表的“测试结果”列自动统计，测试结果填写后本页数据自动刷新。</t>
  </si>
  <si>
    <t xml:space="preserve">测试人：</t>
  </si>
  <si>
    <t xml:space="preserve">审核人：</t>
  </si>
  <si>
    <t xml:space="preserve">日期：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</si>
</sst>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%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CJK SC"/>
      <family val="2"/>
    </font>
    <font>
      <i val="true"/>
      <sz val="10"/>
      <color rgb="FF595959"/>
      <name val="Noto Sans CJK SC"/>
      <family val="2"/>
    </font>
    <font>
      <b val="true"/>
      <sz val="10"/>
      <color rgb="FF1F4E78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4"/>
      <color rgb="FF1F4E78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color rgb="FF7F7F7F"/>
      <name val="Noto Sans CJK SC"/>
      <family val="2"/>
    </font>
    <font>
      <i val="true"/>
      <sz val="9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9.85" hidden="false" customHeight="fals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4" t="s">
        <v>5</v>
      </c>
    </row>
    <row r="9" customFormat="false" ht="29.85" hidden="false" customHeight="fals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7" customFormat="false" ht="15" hidden="false" customHeight="false" outlineLevel="0" collapsed="false">
      <c r="B27" s="3" t="s">
        <v>20</v>
      </c>
    </row>
    <row r="28" customFormat="false" ht="29.85" hidden="false" customHeight="false" outlineLevel="0" collapsed="false">
      <c r="B28" s="4" t="s">
        <v>21</v>
      </c>
    </row>
    <row r="30" customFormat="false" ht="15" hidden="false" customHeight="false" outlineLevel="0" collapsed="false">
      <c r="B30" s="3" t="s">
        <v>22</v>
      </c>
    </row>
    <row r="31" customFormat="false" ht="15" hidden="false" customHeight="false" outlineLevel="0" collapsed="false">
      <c r="B31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6" t="s">
        <v>24</v>
      </c>
      <c r="B1" s="6"/>
      <c r="C1" s="6"/>
      <c r="D1" s="6"/>
      <c r="E1" s="6"/>
      <c r="F1" s="6"/>
      <c r="G1" s="6"/>
      <c r="H1" s="6"/>
      <c r="I1" s="6"/>
    </row>
    <row r="2" customFormat="false" ht="15.75" hidden="false" customHeight="true" outlineLevel="0" collapsed="false">
      <c r="A2" s="7" t="s">
        <v>25</v>
      </c>
      <c r="B2" s="7"/>
      <c r="C2" s="7"/>
      <c r="D2" s="7"/>
      <c r="E2" s="7"/>
      <c r="F2" s="7"/>
      <c r="G2" s="7"/>
      <c r="H2" s="7"/>
      <c r="I2" s="7"/>
    </row>
    <row r="3" customFormat="false" ht="19.5" hidden="false" customHeight="true" outlineLevel="0" collapsed="false">
      <c r="A3" s="8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</row>
    <row r="4" customFormat="false" ht="15" hidden="false" customHeight="true" outlineLevel="0" collapsed="false">
      <c r="A4" s="9" t="n">
        <v>1</v>
      </c>
      <c r="B4" s="10" t="s">
        <v>35</v>
      </c>
      <c r="C4" s="11" t="s">
        <v>36</v>
      </c>
      <c r="D4" s="12" t="s">
        <v>37</v>
      </c>
      <c r="E4" s="12" t="s">
        <v>38</v>
      </c>
      <c r="F4" s="9"/>
      <c r="G4" s="9"/>
      <c r="H4" s="9"/>
      <c r="I4" s="12"/>
    </row>
    <row r="5" customFormat="false" ht="15" hidden="false" customHeight="false" outlineLevel="0" collapsed="false">
      <c r="A5" s="9" t="n">
        <v>2</v>
      </c>
      <c r="B5" s="10"/>
      <c r="C5" s="12" t="s">
        <v>39</v>
      </c>
      <c r="D5" s="12" t="s">
        <v>40</v>
      </c>
      <c r="E5" s="12" t="s">
        <v>38</v>
      </c>
      <c r="F5" s="9"/>
      <c r="G5" s="9"/>
      <c r="H5" s="9"/>
      <c r="I5" s="12"/>
    </row>
    <row r="6" customFormat="false" ht="15" hidden="false" customHeight="false" outlineLevel="0" collapsed="false">
      <c r="A6" s="9" t="n">
        <v>3</v>
      </c>
      <c r="B6" s="10"/>
      <c r="C6" s="12" t="s">
        <v>41</v>
      </c>
      <c r="D6" s="12" t="s">
        <v>42</v>
      </c>
      <c r="E6" s="12" t="s">
        <v>43</v>
      </c>
      <c r="F6" s="9"/>
      <c r="G6" s="9"/>
      <c r="H6" s="9"/>
      <c r="I6" s="12"/>
    </row>
    <row r="7" customFormat="false" ht="15" hidden="false" customHeight="false" outlineLevel="0" collapsed="false">
      <c r="A7" s="9" t="n">
        <v>4</v>
      </c>
      <c r="B7" s="10"/>
      <c r="C7" s="12" t="s">
        <v>44</v>
      </c>
      <c r="D7" s="12" t="s">
        <v>45</v>
      </c>
      <c r="E7" s="12" t="s">
        <v>38</v>
      </c>
      <c r="F7" s="9"/>
      <c r="G7" s="9"/>
      <c r="H7" s="9"/>
      <c r="I7" s="12"/>
    </row>
    <row r="8" customFormat="false" ht="15" hidden="false" customHeight="false" outlineLevel="0" collapsed="false">
      <c r="A8" s="9" t="n">
        <v>5</v>
      </c>
      <c r="B8" s="10"/>
      <c r="C8" s="12" t="s">
        <v>46</v>
      </c>
      <c r="D8" s="12" t="s">
        <v>47</v>
      </c>
      <c r="E8" s="12" t="s">
        <v>38</v>
      </c>
      <c r="F8" s="9"/>
      <c r="G8" s="9"/>
      <c r="H8" s="9"/>
      <c r="I8" s="12"/>
    </row>
    <row r="9" customFormat="false" ht="15" hidden="false" customHeight="false" outlineLevel="0" collapsed="false">
      <c r="A9" s="9" t="n">
        <v>6</v>
      </c>
      <c r="B9" s="10"/>
      <c r="C9" s="11" t="s">
        <v>48</v>
      </c>
      <c r="D9" s="12" t="s">
        <v>49</v>
      </c>
      <c r="E9" s="12" t="s">
        <v>38</v>
      </c>
      <c r="F9" s="9"/>
      <c r="G9" s="9"/>
      <c r="H9" s="9"/>
      <c r="I9" s="12"/>
    </row>
    <row r="10" customFormat="false" ht="29.85" hidden="false" customHeight="true" outlineLevel="0" collapsed="false">
      <c r="A10" s="9" t="n">
        <v>7</v>
      </c>
      <c r="B10" s="10" t="s">
        <v>50</v>
      </c>
      <c r="C10" s="12" t="s">
        <v>51</v>
      </c>
      <c r="D10" s="12" t="s">
        <v>52</v>
      </c>
      <c r="E10" s="12" t="s">
        <v>53</v>
      </c>
      <c r="F10" s="9"/>
      <c r="G10" s="9"/>
      <c r="H10" s="9"/>
      <c r="I10" s="12"/>
    </row>
    <row r="11" customFormat="false" ht="29.85" hidden="false" customHeight="false" outlineLevel="0" collapsed="false">
      <c r="A11" s="9" t="n">
        <v>8</v>
      </c>
      <c r="B11" s="10"/>
      <c r="C11" s="12" t="s">
        <v>54</v>
      </c>
      <c r="D11" s="12" t="s">
        <v>55</v>
      </c>
      <c r="E11" s="12" t="s">
        <v>53</v>
      </c>
      <c r="F11" s="9"/>
      <c r="G11" s="9"/>
      <c r="H11" s="9"/>
      <c r="I11" s="12"/>
    </row>
    <row r="12" customFormat="false" ht="15" hidden="false" customHeight="false" outlineLevel="0" collapsed="false">
      <c r="A12" s="9" t="n">
        <v>9</v>
      </c>
      <c r="B12" s="10"/>
      <c r="C12" s="12" t="s">
        <v>56</v>
      </c>
      <c r="D12" s="12" t="s">
        <v>57</v>
      </c>
      <c r="E12" s="12" t="s">
        <v>58</v>
      </c>
      <c r="F12" s="9"/>
      <c r="G12" s="9"/>
      <c r="H12" s="9"/>
      <c r="I12" s="12"/>
    </row>
    <row r="13" customFormat="false" ht="15" hidden="false" customHeight="false" outlineLevel="0" collapsed="false">
      <c r="A13" s="9" t="n">
        <v>10</v>
      </c>
      <c r="B13" s="10"/>
      <c r="C13" s="12" t="s">
        <v>59</v>
      </c>
      <c r="D13" s="12" t="s">
        <v>60</v>
      </c>
      <c r="E13" s="12" t="s">
        <v>58</v>
      </c>
      <c r="F13" s="9"/>
      <c r="G13" s="9"/>
      <c r="H13" s="9"/>
      <c r="I13" s="12"/>
    </row>
    <row r="14" customFormat="false" ht="15" hidden="false" customHeight="false" outlineLevel="0" collapsed="false">
      <c r="A14" s="9" t="n">
        <v>11</v>
      </c>
      <c r="B14" s="10"/>
      <c r="C14" s="12" t="s">
        <v>61</v>
      </c>
      <c r="D14" s="12" t="s">
        <v>62</v>
      </c>
      <c r="E14" s="12" t="s">
        <v>58</v>
      </c>
      <c r="F14" s="9"/>
      <c r="G14" s="9"/>
      <c r="H14" s="9"/>
      <c r="I14" s="12"/>
    </row>
    <row r="15" customFormat="false" ht="15" hidden="false" customHeight="false" outlineLevel="0" collapsed="false">
      <c r="A15" s="9" t="n">
        <v>12</v>
      </c>
      <c r="B15" s="10"/>
      <c r="C15" s="12" t="s">
        <v>63</v>
      </c>
      <c r="D15" s="12" t="s">
        <v>64</v>
      </c>
      <c r="E15" s="12" t="s">
        <v>58</v>
      </c>
      <c r="F15" s="9"/>
      <c r="G15" s="9"/>
      <c r="H15" s="9"/>
      <c r="I15" s="12"/>
    </row>
    <row r="16" customFormat="false" ht="15" hidden="false" customHeight="true" outlineLevel="0" collapsed="false">
      <c r="A16" s="9" t="n">
        <v>13</v>
      </c>
      <c r="B16" s="10" t="s">
        <v>65</v>
      </c>
      <c r="C16" s="12" t="s">
        <v>66</v>
      </c>
      <c r="D16" s="12" t="s">
        <v>67</v>
      </c>
      <c r="E16" s="12" t="s">
        <v>68</v>
      </c>
      <c r="F16" s="9"/>
      <c r="G16" s="9"/>
      <c r="H16" s="9"/>
      <c r="I16" s="12"/>
    </row>
    <row r="17" customFormat="false" ht="15" hidden="false" customHeight="false" outlineLevel="0" collapsed="false">
      <c r="A17" s="9" t="n">
        <v>14</v>
      </c>
      <c r="B17" s="10"/>
      <c r="C17" s="12" t="s">
        <v>69</v>
      </c>
      <c r="D17" s="12" t="s">
        <v>70</v>
      </c>
      <c r="E17" s="12" t="s">
        <v>71</v>
      </c>
      <c r="F17" s="9"/>
      <c r="G17" s="9"/>
      <c r="H17" s="9"/>
      <c r="I17" s="12"/>
    </row>
    <row r="18" customFormat="false" ht="29.85" hidden="false" customHeight="true" outlineLevel="0" collapsed="false">
      <c r="A18" s="9" t="n">
        <v>15</v>
      </c>
      <c r="B18" s="10" t="s">
        <v>72</v>
      </c>
      <c r="C18" s="11" t="s">
        <v>73</v>
      </c>
      <c r="D18" s="12" t="s">
        <v>74</v>
      </c>
      <c r="E18" s="12" t="s">
        <v>75</v>
      </c>
      <c r="F18" s="9"/>
      <c r="G18" s="9"/>
      <c r="H18" s="9"/>
      <c r="I18" s="12"/>
    </row>
    <row r="19" customFormat="false" ht="29.85" hidden="false" customHeight="false" outlineLevel="0" collapsed="false">
      <c r="A19" s="9" t="n">
        <v>16</v>
      </c>
      <c r="B19" s="10"/>
      <c r="C19" s="12" t="s">
        <v>76</v>
      </c>
      <c r="D19" s="12" t="s">
        <v>77</v>
      </c>
      <c r="E19" s="12" t="s">
        <v>75</v>
      </c>
      <c r="F19" s="9"/>
      <c r="G19" s="9"/>
      <c r="H19" s="9"/>
      <c r="I19" s="12"/>
    </row>
    <row r="20" customFormat="false" ht="15" hidden="false" customHeight="false" outlineLevel="0" collapsed="false">
      <c r="A20" s="9" t="n">
        <v>17</v>
      </c>
      <c r="B20" s="10"/>
      <c r="C20" s="12" t="s">
        <v>78</v>
      </c>
      <c r="D20" s="12" t="s">
        <v>79</v>
      </c>
      <c r="E20" s="12" t="s">
        <v>43</v>
      </c>
      <c r="F20" s="9"/>
      <c r="G20" s="9"/>
      <c r="H20" s="9"/>
      <c r="I20" s="12"/>
    </row>
    <row r="21" customFormat="false" ht="15" hidden="false" customHeight="true" outlineLevel="0" collapsed="false">
      <c r="A21" s="9" t="n">
        <v>18</v>
      </c>
      <c r="B21" s="10" t="s">
        <v>80</v>
      </c>
      <c r="C21" s="12" t="s">
        <v>81</v>
      </c>
      <c r="D21" s="12" t="s">
        <v>82</v>
      </c>
      <c r="E21" s="12" t="s">
        <v>83</v>
      </c>
      <c r="F21" s="9"/>
      <c r="G21" s="9"/>
      <c r="H21" s="9"/>
      <c r="I21" s="12"/>
    </row>
    <row r="22" customFormat="false" ht="15" hidden="false" customHeight="false" outlineLevel="0" collapsed="false">
      <c r="A22" s="9" t="n">
        <v>19</v>
      </c>
      <c r="B22" s="10"/>
      <c r="C22" s="12" t="s">
        <v>84</v>
      </c>
      <c r="D22" s="12" t="s">
        <v>85</v>
      </c>
      <c r="E22" s="12" t="s">
        <v>86</v>
      </c>
      <c r="F22" s="9"/>
      <c r="G22" s="9"/>
      <c r="H22" s="9"/>
      <c r="I22" s="12"/>
    </row>
    <row r="23" customFormat="false" ht="15" hidden="false" customHeight="true" outlineLevel="0" collapsed="false">
      <c r="A23" s="9" t="n">
        <v>20</v>
      </c>
      <c r="B23" s="10" t="s">
        <v>87</v>
      </c>
      <c r="C23" s="12" t="s">
        <v>88</v>
      </c>
      <c r="D23" s="12" t="s">
        <v>89</v>
      </c>
      <c r="E23" s="12" t="s">
        <v>90</v>
      </c>
      <c r="F23" s="9"/>
      <c r="G23" s="9"/>
      <c r="H23" s="9"/>
      <c r="I23" s="12"/>
    </row>
    <row r="24" customFormat="false" ht="15" hidden="false" customHeight="false" outlineLevel="0" collapsed="false">
      <c r="A24" s="9" t="n">
        <v>21</v>
      </c>
      <c r="B24" s="10"/>
      <c r="C24" s="12" t="s">
        <v>91</v>
      </c>
      <c r="D24" s="12" t="s">
        <v>92</v>
      </c>
      <c r="E24" s="12" t="s">
        <v>90</v>
      </c>
      <c r="F24" s="9"/>
      <c r="G24" s="9"/>
      <c r="H24" s="9"/>
      <c r="I24" s="12"/>
    </row>
    <row r="25" customFormat="false" ht="15" hidden="false" customHeight="false" outlineLevel="0" collapsed="false">
      <c r="A25" s="9" t="n">
        <v>22</v>
      </c>
      <c r="B25" s="10"/>
      <c r="C25" s="12" t="s">
        <v>93</v>
      </c>
      <c r="D25" s="12" t="s">
        <v>94</v>
      </c>
      <c r="E25" s="12" t="s">
        <v>90</v>
      </c>
      <c r="F25" s="9"/>
      <c r="G25" s="9"/>
      <c r="H25" s="9"/>
      <c r="I25" s="12"/>
    </row>
    <row r="26" customFormat="false" ht="15" hidden="false" customHeight="true" outlineLevel="0" collapsed="false">
      <c r="A26" s="9" t="n">
        <v>23</v>
      </c>
      <c r="B26" s="10" t="s">
        <v>95</v>
      </c>
      <c r="C26" s="12" t="s">
        <v>96</v>
      </c>
      <c r="D26" s="12" t="s">
        <v>97</v>
      </c>
      <c r="E26" s="12" t="s">
        <v>98</v>
      </c>
      <c r="F26" s="9"/>
      <c r="G26" s="9"/>
      <c r="H26" s="9"/>
      <c r="I26" s="12"/>
    </row>
    <row r="27" customFormat="false" ht="15" hidden="false" customHeight="false" outlineLevel="0" collapsed="false">
      <c r="A27" s="9" t="n">
        <v>24</v>
      </c>
      <c r="B27" s="10"/>
      <c r="C27" s="12" t="s">
        <v>99</v>
      </c>
      <c r="D27" s="12" t="s">
        <v>100</v>
      </c>
      <c r="E27" s="12" t="s">
        <v>98</v>
      </c>
      <c r="F27" s="9"/>
      <c r="G27" s="9"/>
      <c r="H27" s="9"/>
      <c r="I27" s="12"/>
    </row>
    <row r="28" customFormat="false" ht="15" hidden="false" customHeight="false" outlineLevel="0" collapsed="false">
      <c r="A28" s="9" t="n">
        <v>25</v>
      </c>
      <c r="B28" s="10"/>
      <c r="C28" s="12" t="s">
        <v>101</v>
      </c>
      <c r="D28" s="12" t="s">
        <v>102</v>
      </c>
      <c r="E28" s="12" t="s">
        <v>98</v>
      </c>
      <c r="F28" s="9"/>
      <c r="G28" s="9"/>
      <c r="H28" s="9"/>
      <c r="I28" s="12"/>
    </row>
    <row r="29" customFormat="false" ht="15" hidden="false" customHeight="true" outlineLevel="0" collapsed="false">
      <c r="A29" s="9" t="n">
        <v>26</v>
      </c>
      <c r="B29" s="10" t="s">
        <v>103</v>
      </c>
      <c r="C29" s="12" t="s">
        <v>104</v>
      </c>
      <c r="D29" s="12" t="s">
        <v>105</v>
      </c>
      <c r="E29" s="12" t="s">
        <v>106</v>
      </c>
      <c r="F29" s="9"/>
      <c r="G29" s="9"/>
      <c r="H29" s="9"/>
      <c r="I29" s="12"/>
    </row>
    <row r="30" customFormat="false" ht="15" hidden="false" customHeight="false" outlineLevel="0" collapsed="false">
      <c r="A30" s="9" t="n">
        <v>27</v>
      </c>
      <c r="B30" s="10"/>
      <c r="C30" s="12" t="s">
        <v>107</v>
      </c>
      <c r="D30" s="12" t="s">
        <v>108</v>
      </c>
      <c r="E30" s="12" t="s">
        <v>43</v>
      </c>
      <c r="F30" s="9"/>
      <c r="G30" s="9"/>
      <c r="H30" s="9"/>
      <c r="I30" s="12"/>
    </row>
    <row r="31" customFormat="false" ht="15" hidden="false" customHeight="true" outlineLevel="0" collapsed="false">
      <c r="A31" s="13" t="s">
        <v>109</v>
      </c>
      <c r="B31" s="13"/>
      <c r="C31" s="13"/>
      <c r="D31" s="13"/>
      <c r="E31" s="13"/>
      <c r="F31" s="13"/>
      <c r="G31" s="13"/>
      <c r="H31" s="13"/>
      <c r="I31" s="13"/>
    </row>
  </sheetData>
  <mergeCells count="11">
    <mergeCell ref="A1:I1"/>
    <mergeCell ref="A2:I2"/>
    <mergeCell ref="B4:B9"/>
    <mergeCell ref="B10:B15"/>
    <mergeCell ref="B16:B17"/>
    <mergeCell ref="B18:B20"/>
    <mergeCell ref="B21:B22"/>
    <mergeCell ref="B23:B25"/>
    <mergeCell ref="B26:B28"/>
    <mergeCell ref="B29:B30"/>
    <mergeCell ref="A31:I31"/>
  </mergeCells>
  <dataValidations count="1">
    <dataValidation allowBlank="true" error="请从下拉列表选择：通过 / 不通过 / 不适用" errorStyle="stop" errorTitle="无效输入" operator="between" showDropDown="false" showErrorMessage="false" showInputMessage="false" sqref="F4:F30" type="list">
      <formula1>"通过,不通过,不适用"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6" t="s">
        <v>110</v>
      </c>
      <c r="B1" s="6"/>
      <c r="C1" s="6"/>
      <c r="D1" s="6"/>
      <c r="E1" s="6"/>
      <c r="F1" s="6"/>
      <c r="G1" s="6"/>
      <c r="H1" s="6"/>
      <c r="I1" s="6"/>
    </row>
    <row r="2" customFormat="false" ht="15.75" hidden="false" customHeight="true" outlineLevel="0" collapsed="false">
      <c r="A2" s="7" t="s">
        <v>111</v>
      </c>
      <c r="B2" s="7"/>
      <c r="C2" s="7"/>
      <c r="D2" s="7"/>
      <c r="E2" s="7"/>
      <c r="F2" s="7"/>
      <c r="G2" s="7"/>
      <c r="H2" s="7"/>
      <c r="I2" s="7"/>
    </row>
    <row r="3" customFormat="false" ht="19.5" hidden="false" customHeight="true" outlineLevel="0" collapsed="false">
      <c r="A3" s="8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</row>
    <row r="4" customFormat="false" ht="15" hidden="false" customHeight="true" outlineLevel="0" collapsed="false">
      <c r="A4" s="9" t="n">
        <v>1</v>
      </c>
      <c r="B4" s="10" t="s">
        <v>112</v>
      </c>
      <c r="C4" s="12" t="s">
        <v>113</v>
      </c>
      <c r="D4" s="12" t="s">
        <v>114</v>
      </c>
      <c r="E4" s="12" t="s">
        <v>115</v>
      </c>
      <c r="F4" s="9"/>
      <c r="G4" s="9"/>
      <c r="H4" s="9"/>
      <c r="I4" s="12"/>
    </row>
    <row r="5" customFormat="false" ht="29.85" hidden="false" customHeight="false" outlineLevel="0" collapsed="false">
      <c r="A5" s="9" t="n">
        <v>2</v>
      </c>
      <c r="B5" s="10"/>
      <c r="C5" s="12" t="s">
        <v>116</v>
      </c>
      <c r="D5" s="12" t="s">
        <v>117</v>
      </c>
      <c r="E5" s="12" t="s">
        <v>115</v>
      </c>
      <c r="F5" s="9"/>
      <c r="G5" s="9"/>
      <c r="H5" s="9"/>
      <c r="I5" s="12"/>
    </row>
    <row r="6" customFormat="false" ht="29.85" hidden="false" customHeight="false" outlineLevel="0" collapsed="false">
      <c r="A6" s="9" t="n">
        <v>3</v>
      </c>
      <c r="B6" s="10"/>
      <c r="C6" s="12" t="s">
        <v>118</v>
      </c>
      <c r="D6" s="12" t="s">
        <v>119</v>
      </c>
      <c r="E6" s="12" t="s">
        <v>120</v>
      </c>
      <c r="F6" s="9"/>
      <c r="G6" s="9"/>
      <c r="H6" s="9"/>
      <c r="I6" s="12"/>
    </row>
    <row r="7" customFormat="false" ht="29.85" hidden="false" customHeight="false" outlineLevel="0" collapsed="false">
      <c r="A7" s="9" t="n">
        <v>4</v>
      </c>
      <c r="B7" s="10"/>
      <c r="C7" s="12" t="s">
        <v>121</v>
      </c>
      <c r="D7" s="12" t="s">
        <v>122</v>
      </c>
      <c r="E7" s="12" t="s">
        <v>123</v>
      </c>
      <c r="F7" s="9"/>
      <c r="G7" s="9"/>
      <c r="H7" s="9"/>
      <c r="I7" s="12"/>
    </row>
    <row r="8" customFormat="false" ht="15" hidden="false" customHeight="true" outlineLevel="0" collapsed="false">
      <c r="A8" s="9" t="n">
        <v>5</v>
      </c>
      <c r="B8" s="10" t="s">
        <v>124</v>
      </c>
      <c r="C8" s="11" t="s">
        <v>125</v>
      </c>
      <c r="D8" s="12" t="s">
        <v>126</v>
      </c>
      <c r="E8" s="12" t="s">
        <v>71</v>
      </c>
      <c r="F8" s="9"/>
      <c r="G8" s="9"/>
      <c r="H8" s="9"/>
      <c r="I8" s="12"/>
    </row>
    <row r="9" customFormat="false" ht="15" hidden="false" customHeight="false" outlineLevel="0" collapsed="false">
      <c r="A9" s="9" t="n">
        <v>6</v>
      </c>
      <c r="B9" s="10"/>
      <c r="C9" s="11" t="s">
        <v>127</v>
      </c>
      <c r="D9" s="12" t="s">
        <v>128</v>
      </c>
      <c r="E9" s="12" t="s">
        <v>71</v>
      </c>
      <c r="F9" s="9"/>
      <c r="G9" s="9"/>
      <c r="H9" s="9"/>
      <c r="I9" s="12"/>
    </row>
    <row r="10" customFormat="false" ht="15" hidden="false" customHeight="false" outlineLevel="0" collapsed="false">
      <c r="A10" s="9" t="n">
        <v>7</v>
      </c>
      <c r="B10" s="10"/>
      <c r="C10" s="12" t="s">
        <v>129</v>
      </c>
      <c r="D10" s="12" t="s">
        <v>130</v>
      </c>
      <c r="E10" s="12" t="s">
        <v>71</v>
      </c>
      <c r="F10" s="9"/>
      <c r="G10" s="9"/>
      <c r="H10" s="9"/>
      <c r="I10" s="12"/>
    </row>
    <row r="11" customFormat="false" ht="15" hidden="false" customHeight="false" outlineLevel="0" collapsed="false">
      <c r="A11" s="9" t="n">
        <v>8</v>
      </c>
      <c r="B11" s="10"/>
      <c r="C11" s="12" t="s">
        <v>131</v>
      </c>
      <c r="D11" s="12" t="s">
        <v>132</v>
      </c>
      <c r="E11" s="12" t="s">
        <v>71</v>
      </c>
      <c r="F11" s="9"/>
      <c r="G11" s="9"/>
      <c r="H11" s="9"/>
      <c r="I11" s="12"/>
    </row>
    <row r="12" customFormat="false" ht="15" hidden="false" customHeight="false" outlineLevel="0" collapsed="false">
      <c r="A12" s="9" t="n">
        <v>9</v>
      </c>
      <c r="B12" s="10"/>
      <c r="C12" s="12" t="s">
        <v>133</v>
      </c>
      <c r="D12" s="12" t="s">
        <v>134</v>
      </c>
      <c r="E12" s="12" t="s">
        <v>71</v>
      </c>
      <c r="F12" s="9"/>
      <c r="G12" s="9"/>
      <c r="H12" s="9"/>
      <c r="I12" s="12"/>
    </row>
    <row r="13" customFormat="false" ht="15" hidden="false" customHeight="false" outlineLevel="0" collapsed="false">
      <c r="A13" s="9" t="n">
        <v>10</v>
      </c>
      <c r="B13" s="10"/>
      <c r="C13" s="12" t="s">
        <v>135</v>
      </c>
      <c r="D13" s="12" t="s">
        <v>136</v>
      </c>
      <c r="E13" s="12" t="s">
        <v>71</v>
      </c>
      <c r="F13" s="9"/>
      <c r="G13" s="9"/>
      <c r="H13" s="9"/>
      <c r="I13" s="12"/>
    </row>
    <row r="14" customFormat="false" ht="29.85" hidden="false" customHeight="false" outlineLevel="0" collapsed="false">
      <c r="A14" s="9" t="n">
        <v>11</v>
      </c>
      <c r="B14" s="10"/>
      <c r="C14" s="11" t="s">
        <v>137</v>
      </c>
      <c r="D14" s="12" t="s">
        <v>138</v>
      </c>
      <c r="E14" s="12" t="s">
        <v>139</v>
      </c>
      <c r="F14" s="9"/>
      <c r="G14" s="9"/>
      <c r="H14" s="9"/>
      <c r="I14" s="12"/>
    </row>
    <row r="15" customFormat="false" ht="15" hidden="false" customHeight="true" outlineLevel="0" collapsed="false">
      <c r="A15" s="9" t="n">
        <v>12</v>
      </c>
      <c r="B15" s="10" t="s">
        <v>140</v>
      </c>
      <c r="C15" s="12" t="s">
        <v>141</v>
      </c>
      <c r="D15" s="12" t="s">
        <v>142</v>
      </c>
      <c r="E15" s="12" t="s">
        <v>38</v>
      </c>
      <c r="F15" s="9"/>
      <c r="G15" s="9"/>
      <c r="H15" s="9"/>
      <c r="I15" s="12"/>
    </row>
    <row r="16" customFormat="false" ht="15" hidden="false" customHeight="false" outlineLevel="0" collapsed="false">
      <c r="A16" s="9" t="n">
        <v>13</v>
      </c>
      <c r="B16" s="10"/>
      <c r="C16" s="12" t="s">
        <v>143</v>
      </c>
      <c r="D16" s="12" t="s">
        <v>144</v>
      </c>
      <c r="E16" s="12" t="s">
        <v>38</v>
      </c>
      <c r="F16" s="9"/>
      <c r="G16" s="9"/>
      <c r="H16" s="9"/>
      <c r="I16" s="12"/>
    </row>
    <row r="17" customFormat="false" ht="15" hidden="false" customHeight="false" outlineLevel="0" collapsed="false">
      <c r="A17" s="9" t="n">
        <v>14</v>
      </c>
      <c r="B17" s="10"/>
      <c r="C17" s="12" t="s">
        <v>145</v>
      </c>
      <c r="D17" s="12" t="s">
        <v>146</v>
      </c>
      <c r="E17" s="12" t="s">
        <v>38</v>
      </c>
      <c r="F17" s="9"/>
      <c r="G17" s="9"/>
      <c r="H17" s="9"/>
      <c r="I17" s="12"/>
    </row>
    <row r="18" customFormat="false" ht="15" hidden="false" customHeight="true" outlineLevel="0" collapsed="false">
      <c r="A18" s="9" t="n">
        <v>15</v>
      </c>
      <c r="B18" s="10" t="s">
        <v>147</v>
      </c>
      <c r="C18" s="12" t="s">
        <v>148</v>
      </c>
      <c r="D18" s="12" t="s">
        <v>149</v>
      </c>
      <c r="E18" s="12" t="s">
        <v>58</v>
      </c>
      <c r="F18" s="9"/>
      <c r="G18" s="9"/>
      <c r="H18" s="9"/>
      <c r="I18" s="12"/>
    </row>
    <row r="19" customFormat="false" ht="15" hidden="false" customHeight="false" outlineLevel="0" collapsed="false">
      <c r="A19" s="9" t="n">
        <v>16</v>
      </c>
      <c r="B19" s="10"/>
      <c r="C19" s="12" t="s">
        <v>150</v>
      </c>
      <c r="D19" s="12" t="s">
        <v>151</v>
      </c>
      <c r="E19" s="12" t="s">
        <v>58</v>
      </c>
      <c r="F19" s="9"/>
      <c r="G19" s="9"/>
      <c r="H19" s="9"/>
      <c r="I19" s="12"/>
    </row>
    <row r="20" customFormat="false" ht="15" hidden="false" customHeight="false" outlineLevel="0" collapsed="false">
      <c r="A20" s="9" t="n">
        <v>17</v>
      </c>
      <c r="B20" s="10"/>
      <c r="C20" s="12" t="s">
        <v>152</v>
      </c>
      <c r="D20" s="12" t="s">
        <v>153</v>
      </c>
      <c r="E20" s="12" t="s">
        <v>58</v>
      </c>
      <c r="F20" s="9"/>
      <c r="G20" s="9"/>
      <c r="H20" s="9"/>
      <c r="I20" s="12"/>
    </row>
    <row r="21" customFormat="false" ht="15" hidden="false" customHeight="false" outlineLevel="0" collapsed="false">
      <c r="A21" s="9" t="n">
        <v>18</v>
      </c>
      <c r="B21" s="10"/>
      <c r="C21" s="12" t="s">
        <v>154</v>
      </c>
      <c r="D21" s="12" t="s">
        <v>155</v>
      </c>
      <c r="E21" s="12" t="s">
        <v>58</v>
      </c>
      <c r="F21" s="9"/>
      <c r="G21" s="9"/>
      <c r="H21" s="9"/>
      <c r="I21" s="12"/>
    </row>
    <row r="22" customFormat="false" ht="15" hidden="false" customHeight="true" outlineLevel="0" collapsed="false">
      <c r="A22" s="9" t="n">
        <v>19</v>
      </c>
      <c r="B22" s="10" t="s">
        <v>156</v>
      </c>
      <c r="C22" s="12" t="s">
        <v>157</v>
      </c>
      <c r="D22" s="12" t="s">
        <v>158</v>
      </c>
      <c r="E22" s="12" t="s">
        <v>68</v>
      </c>
      <c r="F22" s="9"/>
      <c r="G22" s="9"/>
      <c r="H22" s="9"/>
      <c r="I22" s="12"/>
    </row>
    <row r="23" customFormat="false" ht="29.85" hidden="false" customHeight="false" outlineLevel="0" collapsed="false">
      <c r="A23" s="9" t="n">
        <v>20</v>
      </c>
      <c r="B23" s="10"/>
      <c r="C23" s="12" t="s">
        <v>159</v>
      </c>
      <c r="D23" s="12" t="s">
        <v>160</v>
      </c>
      <c r="E23" s="12" t="s">
        <v>68</v>
      </c>
      <c r="F23" s="9"/>
      <c r="G23" s="9"/>
      <c r="H23" s="9"/>
      <c r="I23" s="12"/>
    </row>
    <row r="24" customFormat="false" ht="15" hidden="false" customHeight="false" outlineLevel="0" collapsed="false">
      <c r="A24" s="9" t="n">
        <v>21</v>
      </c>
      <c r="B24" s="10"/>
      <c r="C24" s="12" t="s">
        <v>161</v>
      </c>
      <c r="D24" s="12" t="s">
        <v>162</v>
      </c>
      <c r="E24" s="12" t="s">
        <v>68</v>
      </c>
      <c r="F24" s="9"/>
      <c r="G24" s="9"/>
      <c r="H24" s="9"/>
      <c r="I24" s="12"/>
    </row>
    <row r="25" customFormat="false" ht="15" hidden="false" customHeight="true" outlineLevel="0" collapsed="false">
      <c r="A25" s="9" t="n">
        <v>22</v>
      </c>
      <c r="B25" s="10" t="s">
        <v>163</v>
      </c>
      <c r="C25" s="12" t="s">
        <v>164</v>
      </c>
      <c r="D25" s="12" t="s">
        <v>165</v>
      </c>
      <c r="E25" s="12" t="s">
        <v>83</v>
      </c>
      <c r="F25" s="9"/>
      <c r="G25" s="9"/>
      <c r="H25" s="9"/>
      <c r="I25" s="12"/>
    </row>
    <row r="26" customFormat="false" ht="15" hidden="false" customHeight="false" outlineLevel="0" collapsed="false">
      <c r="A26" s="9" t="n">
        <v>23</v>
      </c>
      <c r="B26" s="10"/>
      <c r="C26" s="12" t="s">
        <v>166</v>
      </c>
      <c r="D26" s="12" t="s">
        <v>167</v>
      </c>
      <c r="E26" s="12" t="s">
        <v>83</v>
      </c>
      <c r="F26" s="9"/>
      <c r="G26" s="9"/>
      <c r="H26" s="9"/>
      <c r="I26" s="12"/>
    </row>
    <row r="27" customFormat="false" ht="15" hidden="false" customHeight="true" outlineLevel="0" collapsed="false">
      <c r="A27" s="9" t="n">
        <v>24</v>
      </c>
      <c r="B27" s="10" t="s">
        <v>168</v>
      </c>
      <c r="C27" s="12" t="s">
        <v>169</v>
      </c>
      <c r="D27" s="12" t="s">
        <v>170</v>
      </c>
      <c r="E27" s="12" t="s">
        <v>171</v>
      </c>
      <c r="F27" s="9"/>
      <c r="G27" s="9"/>
      <c r="H27" s="9"/>
      <c r="I27" s="12"/>
    </row>
    <row r="28" customFormat="false" ht="15" hidden="false" customHeight="false" outlineLevel="0" collapsed="false">
      <c r="A28" s="9" t="n">
        <v>25</v>
      </c>
      <c r="B28" s="10"/>
      <c r="C28" s="12" t="s">
        <v>172</v>
      </c>
      <c r="D28" s="12" t="s">
        <v>173</v>
      </c>
      <c r="E28" s="12" t="s">
        <v>171</v>
      </c>
      <c r="F28" s="9"/>
      <c r="G28" s="9"/>
      <c r="H28" s="9"/>
      <c r="I28" s="12"/>
    </row>
    <row r="29" customFormat="false" ht="15" hidden="false" customHeight="false" outlineLevel="0" collapsed="false">
      <c r="A29" s="9" t="n">
        <v>26</v>
      </c>
      <c r="B29" s="10"/>
      <c r="C29" s="12" t="s">
        <v>174</v>
      </c>
      <c r="D29" s="12" t="s">
        <v>175</v>
      </c>
      <c r="E29" s="12" t="s">
        <v>171</v>
      </c>
      <c r="F29" s="9"/>
      <c r="G29" s="9"/>
      <c r="H29" s="9"/>
      <c r="I29" s="12"/>
    </row>
    <row r="30" customFormat="false" ht="15" hidden="false" customHeight="false" outlineLevel="0" collapsed="false">
      <c r="A30" s="9" t="n">
        <v>27</v>
      </c>
      <c r="B30" s="10"/>
      <c r="C30" s="12" t="s">
        <v>176</v>
      </c>
      <c r="D30" s="12" t="s">
        <v>177</v>
      </c>
      <c r="E30" s="12" t="s">
        <v>171</v>
      </c>
      <c r="F30" s="9"/>
      <c r="G30" s="9"/>
      <c r="H30" s="9"/>
      <c r="I30" s="12"/>
    </row>
    <row r="31" customFormat="false" ht="15" hidden="false" customHeight="true" outlineLevel="0" collapsed="false">
      <c r="A31" s="9" t="n">
        <v>28</v>
      </c>
      <c r="B31" s="10" t="s">
        <v>178</v>
      </c>
      <c r="C31" s="12" t="s">
        <v>179</v>
      </c>
      <c r="D31" s="12" t="s">
        <v>180</v>
      </c>
      <c r="E31" s="12" t="s">
        <v>181</v>
      </c>
      <c r="F31" s="9"/>
      <c r="G31" s="9"/>
      <c r="H31" s="9"/>
      <c r="I31" s="12"/>
    </row>
    <row r="32" customFormat="false" ht="15" hidden="false" customHeight="false" outlineLevel="0" collapsed="false">
      <c r="A32" s="9" t="n">
        <v>29</v>
      </c>
      <c r="B32" s="10"/>
      <c r="C32" s="12" t="s">
        <v>182</v>
      </c>
      <c r="D32" s="12" t="s">
        <v>183</v>
      </c>
      <c r="E32" s="12" t="s">
        <v>181</v>
      </c>
      <c r="F32" s="9"/>
      <c r="G32" s="9"/>
      <c r="H32" s="9"/>
      <c r="I32" s="12"/>
    </row>
    <row r="33" customFormat="false" ht="29.85" hidden="false" customHeight="false" outlineLevel="0" collapsed="false">
      <c r="A33" s="9" t="n">
        <v>30</v>
      </c>
      <c r="B33" s="10"/>
      <c r="C33" s="12" t="s">
        <v>184</v>
      </c>
      <c r="D33" s="12" t="s">
        <v>185</v>
      </c>
      <c r="E33" s="12" t="s">
        <v>181</v>
      </c>
      <c r="F33" s="9"/>
      <c r="G33" s="9"/>
      <c r="H33" s="9"/>
      <c r="I33" s="12"/>
    </row>
    <row r="34" customFormat="false" ht="15" hidden="false" customHeight="false" outlineLevel="0" collapsed="false">
      <c r="A34" s="9" t="n">
        <v>31</v>
      </c>
      <c r="B34" s="10"/>
      <c r="C34" s="12" t="s">
        <v>186</v>
      </c>
      <c r="D34" s="12" t="s">
        <v>187</v>
      </c>
      <c r="E34" s="12" t="s">
        <v>181</v>
      </c>
      <c r="F34" s="9"/>
      <c r="G34" s="9"/>
      <c r="H34" s="9"/>
      <c r="I34" s="12"/>
    </row>
    <row r="35" customFormat="false" ht="15" hidden="false" customHeight="false" outlineLevel="0" collapsed="false">
      <c r="A35" s="9" t="n">
        <v>32</v>
      </c>
      <c r="B35" s="10"/>
      <c r="C35" s="12" t="s">
        <v>188</v>
      </c>
      <c r="D35" s="12" t="s">
        <v>189</v>
      </c>
      <c r="E35" s="12" t="s">
        <v>181</v>
      </c>
      <c r="F35" s="9"/>
      <c r="G35" s="9"/>
      <c r="H35" s="9"/>
      <c r="I35" s="12"/>
    </row>
    <row r="36" customFormat="false" ht="15" hidden="false" customHeight="false" outlineLevel="0" collapsed="false">
      <c r="A36" s="9" t="n">
        <v>33</v>
      </c>
      <c r="B36" s="10"/>
      <c r="C36" s="12" t="s">
        <v>190</v>
      </c>
      <c r="D36" s="12" t="s">
        <v>191</v>
      </c>
      <c r="E36" s="12" t="s">
        <v>181</v>
      </c>
      <c r="F36" s="9"/>
      <c r="G36" s="9"/>
      <c r="H36" s="9"/>
      <c r="I36" s="12"/>
    </row>
    <row r="37" customFormat="false" ht="15" hidden="false" customHeight="false" outlineLevel="0" collapsed="false">
      <c r="A37" s="9" t="n">
        <v>34</v>
      </c>
      <c r="B37" s="10"/>
      <c r="C37" s="12" t="s">
        <v>192</v>
      </c>
      <c r="D37" s="12" t="s">
        <v>193</v>
      </c>
      <c r="E37" s="12" t="s">
        <v>181</v>
      </c>
      <c r="F37" s="9"/>
      <c r="G37" s="9"/>
      <c r="H37" s="9"/>
      <c r="I37" s="12"/>
    </row>
    <row r="38" customFormat="false" ht="15" hidden="false" customHeight="false" outlineLevel="0" collapsed="false">
      <c r="A38" s="9" t="n">
        <v>35</v>
      </c>
      <c r="B38" s="14" t="s">
        <v>194</v>
      </c>
      <c r="C38" s="12" t="s">
        <v>195</v>
      </c>
      <c r="D38" s="12" t="s">
        <v>196</v>
      </c>
      <c r="E38" s="12" t="s">
        <v>197</v>
      </c>
      <c r="F38" s="9"/>
      <c r="G38" s="9"/>
      <c r="H38" s="9"/>
      <c r="I38" s="12"/>
    </row>
    <row r="39" customFormat="false" ht="15" hidden="false" customHeight="true" outlineLevel="0" collapsed="false">
      <c r="A39" s="9" t="n">
        <v>36</v>
      </c>
      <c r="B39" s="10" t="s">
        <v>198</v>
      </c>
      <c r="C39" s="12" t="s">
        <v>199</v>
      </c>
      <c r="D39" s="12" t="s">
        <v>200</v>
      </c>
      <c r="E39" s="12" t="s">
        <v>201</v>
      </c>
      <c r="F39" s="9"/>
      <c r="G39" s="9"/>
      <c r="H39" s="9"/>
      <c r="I39" s="12"/>
    </row>
    <row r="40" customFormat="false" ht="29.85" hidden="false" customHeight="false" outlineLevel="0" collapsed="false">
      <c r="A40" s="9" t="n">
        <v>37</v>
      </c>
      <c r="B40" s="10"/>
      <c r="C40" s="12" t="s">
        <v>202</v>
      </c>
      <c r="D40" s="11" t="s">
        <v>203</v>
      </c>
      <c r="E40" s="12" t="s">
        <v>201</v>
      </c>
      <c r="F40" s="9"/>
      <c r="G40" s="9"/>
      <c r="H40" s="9"/>
      <c r="I40" s="12"/>
    </row>
    <row r="41" customFormat="false" ht="15" hidden="false" customHeight="true" outlineLevel="0" collapsed="false">
      <c r="A41" s="9" t="n">
        <v>38</v>
      </c>
      <c r="B41" s="10" t="s">
        <v>204</v>
      </c>
      <c r="C41" s="12" t="s">
        <v>205</v>
      </c>
      <c r="D41" s="12" t="s">
        <v>206</v>
      </c>
      <c r="E41" s="12" t="s">
        <v>207</v>
      </c>
      <c r="F41" s="9"/>
      <c r="G41" s="9"/>
      <c r="H41" s="9"/>
      <c r="I41" s="12"/>
    </row>
    <row r="42" customFormat="false" ht="15" hidden="false" customHeight="false" outlineLevel="0" collapsed="false">
      <c r="A42" s="9" t="n">
        <v>39</v>
      </c>
      <c r="B42" s="10"/>
      <c r="C42" s="12" t="s">
        <v>208</v>
      </c>
      <c r="D42" s="12" t="s">
        <v>209</v>
      </c>
      <c r="E42" s="12" t="s">
        <v>207</v>
      </c>
      <c r="F42" s="9"/>
      <c r="G42" s="9"/>
      <c r="H42" s="9"/>
      <c r="I42" s="12"/>
    </row>
    <row r="43" customFormat="false" ht="15" hidden="false" customHeight="true" outlineLevel="0" collapsed="false">
      <c r="A43" s="9" t="n">
        <v>40</v>
      </c>
      <c r="B43" s="10" t="s">
        <v>210</v>
      </c>
      <c r="C43" s="12" t="s">
        <v>211</v>
      </c>
      <c r="D43" s="12" t="s">
        <v>212</v>
      </c>
      <c r="E43" s="12" t="s">
        <v>213</v>
      </c>
      <c r="F43" s="9"/>
      <c r="G43" s="9"/>
      <c r="H43" s="9"/>
      <c r="I43" s="12"/>
    </row>
    <row r="44" customFormat="false" ht="15" hidden="false" customHeight="false" outlineLevel="0" collapsed="false">
      <c r="A44" s="9" t="n">
        <v>41</v>
      </c>
      <c r="B44" s="10"/>
      <c r="C44" s="12" t="s">
        <v>214</v>
      </c>
      <c r="D44" s="12" t="s">
        <v>215</v>
      </c>
      <c r="E44" s="12" t="s">
        <v>213</v>
      </c>
      <c r="F44" s="9"/>
      <c r="G44" s="9"/>
      <c r="H44" s="9"/>
      <c r="I44" s="12"/>
    </row>
    <row r="45" customFormat="false" ht="15" hidden="false" customHeight="false" outlineLevel="0" collapsed="false">
      <c r="A45" s="9" t="n">
        <v>42</v>
      </c>
      <c r="B45" s="10"/>
      <c r="C45" s="12" t="s">
        <v>216</v>
      </c>
      <c r="D45" s="12" t="s">
        <v>217</v>
      </c>
      <c r="E45" s="12" t="s">
        <v>213</v>
      </c>
      <c r="F45" s="9"/>
      <c r="G45" s="9"/>
      <c r="H45" s="9"/>
      <c r="I45" s="12"/>
    </row>
    <row r="46" customFormat="false" ht="15" hidden="false" customHeight="false" outlineLevel="0" collapsed="false">
      <c r="A46" s="9" t="n">
        <v>43</v>
      </c>
      <c r="B46" s="10"/>
      <c r="C46" s="12" t="s">
        <v>218</v>
      </c>
      <c r="D46" s="12" t="s">
        <v>219</v>
      </c>
      <c r="E46" s="12" t="s">
        <v>213</v>
      </c>
      <c r="F46" s="9"/>
      <c r="G46" s="9"/>
      <c r="H46" s="9"/>
      <c r="I46" s="12"/>
    </row>
    <row r="47" customFormat="false" ht="15" hidden="false" customHeight="true" outlineLevel="0" collapsed="false">
      <c r="A47" s="9" t="n">
        <v>44</v>
      </c>
      <c r="B47" s="10" t="s">
        <v>220</v>
      </c>
      <c r="C47" s="12" t="s">
        <v>221</v>
      </c>
      <c r="D47" s="12" t="s">
        <v>222</v>
      </c>
      <c r="E47" s="12" t="s">
        <v>223</v>
      </c>
      <c r="F47" s="9"/>
      <c r="G47" s="9"/>
      <c r="H47" s="9"/>
      <c r="I47" s="12"/>
    </row>
    <row r="48" customFormat="false" ht="29.85" hidden="false" customHeight="false" outlineLevel="0" collapsed="false">
      <c r="A48" s="9" t="n">
        <v>45</v>
      </c>
      <c r="B48" s="10"/>
      <c r="C48" s="12" t="s">
        <v>224</v>
      </c>
      <c r="D48" s="12" t="s">
        <v>225</v>
      </c>
      <c r="E48" s="12" t="s">
        <v>226</v>
      </c>
      <c r="F48" s="9"/>
      <c r="G48" s="9"/>
      <c r="H48" s="9"/>
      <c r="I48" s="12"/>
    </row>
    <row r="49" customFormat="false" ht="15" hidden="false" customHeight="false" outlineLevel="0" collapsed="false">
      <c r="A49" s="9" t="n">
        <v>46</v>
      </c>
      <c r="B49" s="10"/>
      <c r="C49" s="12" t="s">
        <v>227</v>
      </c>
      <c r="D49" s="12" t="s">
        <v>228</v>
      </c>
      <c r="E49" s="12" t="s">
        <v>223</v>
      </c>
      <c r="F49" s="9"/>
      <c r="G49" s="9"/>
      <c r="H49" s="9"/>
      <c r="I49" s="12"/>
    </row>
    <row r="50" customFormat="false" ht="26.85" hidden="false" customHeight="true" outlineLevel="0" collapsed="false">
      <c r="A50" s="9" t="n">
        <v>47</v>
      </c>
      <c r="B50" s="10" t="s">
        <v>229</v>
      </c>
      <c r="C50" s="12" t="s">
        <v>230</v>
      </c>
      <c r="D50" s="12" t="s">
        <v>231</v>
      </c>
      <c r="E50" s="12" t="s">
        <v>86</v>
      </c>
      <c r="F50" s="9"/>
      <c r="G50" s="9"/>
      <c r="H50" s="9"/>
      <c r="I50" s="12"/>
    </row>
    <row r="51" customFormat="false" ht="15" hidden="false" customHeight="false" outlineLevel="0" collapsed="false">
      <c r="A51" s="9" t="n">
        <v>48</v>
      </c>
      <c r="B51" s="10"/>
      <c r="C51" s="12" t="s">
        <v>232</v>
      </c>
      <c r="D51" s="12" t="s">
        <v>233</v>
      </c>
      <c r="E51" s="12" t="s">
        <v>86</v>
      </c>
      <c r="F51" s="9"/>
      <c r="G51" s="9"/>
      <c r="H51" s="9"/>
      <c r="I51" s="12"/>
    </row>
    <row r="52" customFormat="false" ht="15" hidden="false" customHeight="false" outlineLevel="0" collapsed="false">
      <c r="A52" s="9" t="n">
        <v>49</v>
      </c>
      <c r="B52" s="10"/>
      <c r="C52" s="12" t="s">
        <v>234</v>
      </c>
      <c r="D52" s="12" t="s">
        <v>235</v>
      </c>
      <c r="E52" s="12" t="s">
        <v>86</v>
      </c>
      <c r="F52" s="9"/>
      <c r="G52" s="9"/>
      <c r="H52" s="9"/>
      <c r="I52" s="12"/>
    </row>
    <row r="53" customFormat="false" ht="15" hidden="false" customHeight="true" outlineLevel="0" collapsed="false">
      <c r="A53" s="9" t="n">
        <v>50</v>
      </c>
      <c r="B53" s="10" t="s">
        <v>236</v>
      </c>
      <c r="C53" s="12" t="s">
        <v>237</v>
      </c>
      <c r="D53" s="12" t="s">
        <v>238</v>
      </c>
      <c r="E53" s="12" t="s">
        <v>239</v>
      </c>
      <c r="F53" s="9"/>
      <c r="G53" s="9"/>
      <c r="H53" s="9"/>
      <c r="I53" s="12"/>
    </row>
    <row r="54" customFormat="false" ht="15" hidden="false" customHeight="false" outlineLevel="0" collapsed="false">
      <c r="A54" s="9" t="n">
        <v>51</v>
      </c>
      <c r="B54" s="10"/>
      <c r="C54" s="12" t="s">
        <v>240</v>
      </c>
      <c r="D54" s="12" t="s">
        <v>241</v>
      </c>
      <c r="E54" s="12" t="s">
        <v>239</v>
      </c>
      <c r="F54" s="9"/>
      <c r="G54" s="9"/>
      <c r="H54" s="9"/>
      <c r="I54" s="12"/>
    </row>
    <row r="55" customFormat="false" ht="15" hidden="false" customHeight="true" outlineLevel="0" collapsed="false">
      <c r="A55" s="13" t="s">
        <v>242</v>
      </c>
      <c r="B55" s="13"/>
      <c r="C55" s="13"/>
      <c r="D55" s="13"/>
      <c r="E55" s="13"/>
      <c r="F55" s="13"/>
      <c r="G55" s="13"/>
      <c r="H55" s="13"/>
      <c r="I55" s="13"/>
    </row>
  </sheetData>
  <mergeCells count="17">
    <mergeCell ref="A1:I1"/>
    <mergeCell ref="A2:I2"/>
    <mergeCell ref="B4:B7"/>
    <mergeCell ref="B8:B14"/>
    <mergeCell ref="B15:B17"/>
    <mergeCell ref="B18:B21"/>
    <mergeCell ref="B22:B24"/>
    <mergeCell ref="B25:B26"/>
    <mergeCell ref="B27:B30"/>
    <mergeCell ref="B31:B37"/>
    <mergeCell ref="B39:B40"/>
    <mergeCell ref="B41:B42"/>
    <mergeCell ref="B43:B46"/>
    <mergeCell ref="B47:B49"/>
    <mergeCell ref="B50:B52"/>
    <mergeCell ref="B53:B54"/>
    <mergeCell ref="A55:I55"/>
  </mergeCells>
  <dataValidations count="1">
    <dataValidation allowBlank="true" error="请从下拉列表选择：通过 / 不通过 / 不适用" errorStyle="stop" errorTitle="无效输入" operator="between" showDropDown="false" showErrorMessage="false" showInputMessage="false" sqref="F4:F54" type="list">
      <formula1>"通过,不通过,不适用"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5" t="s">
        <v>243</v>
      </c>
      <c r="B1" s="15"/>
      <c r="C1" s="15"/>
      <c r="D1" s="15"/>
      <c r="E1" s="15"/>
      <c r="F1" s="15"/>
    </row>
    <row r="3" customFormat="false" ht="19.5" hidden="false" customHeight="true" outlineLevel="0" collapsed="false">
      <c r="A3" s="8" t="s">
        <v>244</v>
      </c>
      <c r="B3" s="8" t="s">
        <v>245</v>
      </c>
      <c r="C3" s="8" t="s">
        <v>246</v>
      </c>
      <c r="D3" s="8" t="s">
        <v>247</v>
      </c>
      <c r="E3" s="8" t="s">
        <v>248</v>
      </c>
      <c r="F3" s="8" t="s">
        <v>249</v>
      </c>
    </row>
    <row r="4" customFormat="false" ht="15" hidden="false" customHeight="false" outlineLevel="0" collapsed="false">
      <c r="A4" s="16" t="s">
        <v>250</v>
      </c>
      <c r="B4" s="9" t="n">
        <f aca="false">COUNTA(硬件测试项!A4:A30)</f>
        <v>27</v>
      </c>
      <c r="C4" s="9" t="n">
        <f aca="false">COUNTIF(硬件测试项!F4:F30,"通过")</f>
        <v>0</v>
      </c>
      <c r="D4" s="9" t="n">
        <f aca="false">COUNTIF(硬件测试项!F4:F30,"不通过")</f>
        <v>0</v>
      </c>
      <c r="E4" s="9" t="n">
        <f aca="false">COUNTIF(硬件测试项!F4:F30,"不适用")</f>
        <v>0</v>
      </c>
      <c r="F4" s="17" t="n">
        <f aca="false">IFERROR(C4/(B4-E4),0)*100</f>
        <v>0</v>
      </c>
    </row>
    <row r="5" customFormat="false" ht="15" hidden="false" customHeight="false" outlineLevel="0" collapsed="false">
      <c r="A5" s="16" t="s">
        <v>251</v>
      </c>
      <c r="B5" s="9" t="n">
        <f aca="false">COUNTA(软件功能测试项!A4:A54)</f>
        <v>51</v>
      </c>
      <c r="C5" s="9" t="n">
        <f aca="false">COUNTIF(软件功能测试项!F4:F54,"通过")</f>
        <v>0</v>
      </c>
      <c r="D5" s="9" t="n">
        <f aca="false">COUNTIF(软件功能测试项!F4:F54,"不通过")</f>
        <v>0</v>
      </c>
      <c r="E5" s="9" t="n">
        <f aca="false">COUNTIF(软件功能测试项!F4:F54,"不适用")</f>
        <v>0</v>
      </c>
      <c r="F5" s="17" t="n">
        <f aca="false">IFERROR(C5/(B5-E5),0)*100</f>
        <v>0</v>
      </c>
    </row>
    <row r="6" customFormat="false" ht="15" hidden="false" customHeight="false" outlineLevel="0" collapsed="false">
      <c r="A6" s="18" t="s">
        <v>252</v>
      </c>
      <c r="B6" s="19" t="n">
        <f aca="false">SUM(B4:B5)</f>
        <v>78</v>
      </c>
      <c r="C6" s="19" t="n">
        <f aca="false">SUM(C4:C5)</f>
        <v>0</v>
      </c>
      <c r="D6" s="19" t="n">
        <f aca="false">SUM(D4:D5)</f>
        <v>0</v>
      </c>
      <c r="E6" s="19" t="n">
        <f aca="false">SUM(E4:E5)</f>
        <v>0</v>
      </c>
      <c r="F6" s="20" t="n">
        <f aca="false">IFERROR(C6/(B6-E6),0)*100</f>
        <v>0</v>
      </c>
    </row>
    <row r="8" customFormat="false" ht="26.85" hidden="false" customHeight="true" outlineLevel="0" collapsed="false">
      <c r="A8" s="21" t="s">
        <v>253</v>
      </c>
      <c r="B8" s="21"/>
      <c r="C8" s="21"/>
      <c r="D8" s="21"/>
      <c r="E8" s="21"/>
      <c r="F8" s="21"/>
    </row>
    <row r="10" customFormat="false" ht="15" hidden="false" customHeight="false" outlineLevel="0" collapsed="false">
      <c r="A10" s="22" t="s">
        <v>254</v>
      </c>
      <c r="C10" s="22" t="s">
        <v>255</v>
      </c>
      <c r="E10" s="22" t="s">
        <v>256</v>
      </c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2026-07-24T13:20:48Z</dcterms:created>
  <dc:creator>openpyxl</dc:creator>
  <dc:description/>
  <dc:language>en-US</dc:language>
  <cp:lastModifiedBy/>
  <dcterms:modified xsi:type="dcterms:W3CDTF">2026-07-24T13:20:48Z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