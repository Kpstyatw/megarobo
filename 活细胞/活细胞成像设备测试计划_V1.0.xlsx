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egarobo\活细胞\"/>
    </mc:Choice>
  </mc:AlternateContent>
  <xr:revisionPtr revIDLastSave="0" documentId="13_ncr:1_{B2695B32-48B7-46A4-9294-A39DD97E5F05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测试计划说明" sheetId="1" r:id="rId1"/>
    <sheet name="硬件测试项" sheetId="2" r:id="rId2"/>
    <sheet name="活细胞成像工作站测试计划" sheetId="6" r:id="rId3"/>
    <sheet name="软件功能测试项" sheetId="3" r:id="rId4"/>
    <sheet name="测试结果汇总" sheetId="4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4" l="1"/>
  <c r="D5" i="4"/>
  <c r="C5" i="4"/>
  <c r="F5" i="4" s="1"/>
  <c r="B5" i="4"/>
  <c r="E4" i="4"/>
  <c r="E6" i="4" s="1"/>
  <c r="D4" i="4"/>
  <c r="D6" i="4" s="1"/>
  <c r="C4" i="4"/>
  <c r="C6" i="4" s="1"/>
  <c r="B4" i="4"/>
  <c r="B6" i="4" s="1"/>
  <c r="F6" i="4" l="1"/>
  <c r="F4" i="4"/>
</calcChain>
</file>

<file path=xl/sharedStrings.xml><?xml version="1.0" encoding="utf-8"?>
<sst xmlns="http://schemas.openxmlformats.org/spreadsheetml/2006/main" count="418" uniqueCount="335">
  <si>
    <t>一、测试目的</t>
  </si>
  <si>
    <t>二、测试范围</t>
  </si>
  <si>
    <t>三、测试顺序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</si>
  <si>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>硬件连接检查（相机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控制器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光源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片机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油泵通电与通信）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</si>
  <si>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设备校准（</t>
    </r>
    <r>
      <rPr>
        <sz val="10"/>
        <rFont val="Arial"/>
        <family val="2"/>
      </rPr>
      <t>Z</t>
    </r>
    <r>
      <rPr>
        <sz val="10"/>
        <rFont val="Noto Sans CJK SC"/>
        <family val="2"/>
      </rPr>
      <t>轴、</t>
    </r>
    <r>
      <rPr>
        <sz val="10"/>
        <rFont val="Arial"/>
        <family val="2"/>
      </rPr>
      <t>X/Y</t>
    </r>
    <r>
      <rPr>
        <sz val="10"/>
        <rFont val="Noto Sans CJK SC"/>
        <family val="2"/>
      </rPr>
      <t>轴、正交性、视场宽度、共轴性、斜率校准）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</si>
  <si>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>软件单模块功能测试（按“软件功能测试项”工作表逐项验证）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</si>
  <si>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>端到端流程测试（新建扫描→样本预览→样本扫描→结果浏览→计数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荧光扫描）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</si>
  <si>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整机稳定性与耐久测试（连续扫描≥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小时）</t>
    </r>
  </si>
  <si>
    <t>四、测试环境记录（测试前填写）</t>
  </si>
  <si>
    <r>
      <rPr>
        <sz val="10"/>
        <rFont val="Noto Sans CJK SC"/>
        <family val="2"/>
      </rPr>
      <t>软件版本：</t>
    </r>
    <r>
      <rPr>
        <sz val="10"/>
        <rFont val="Arial"/>
        <family val="2"/>
      </rPr>
      <t>__________</t>
    </r>
    <r>
      <rPr>
        <sz val="10"/>
        <rFont val="Noto Sans CJK SC"/>
        <family val="2"/>
      </rPr>
      <t>　相机型号：</t>
    </r>
    <r>
      <rPr>
        <sz val="10"/>
        <rFont val="Arial"/>
        <family val="2"/>
      </rPr>
      <t>__________</t>
    </r>
    <r>
      <rPr>
        <sz val="10"/>
        <rFont val="Noto Sans CJK SC"/>
        <family val="2"/>
      </rPr>
      <t>　控制器型号：</t>
    </r>
    <r>
      <rPr>
        <sz val="10"/>
        <rFont val="Arial"/>
        <family val="2"/>
      </rPr>
      <t>__________</t>
    </r>
  </si>
  <si>
    <r>
      <rPr>
        <sz val="10"/>
        <rFont val="Noto Sans CJK SC"/>
        <family val="2"/>
      </rPr>
      <t>物镜配置：</t>
    </r>
    <r>
      <rPr>
        <sz val="10"/>
        <rFont val="Arial"/>
        <family val="2"/>
      </rPr>
      <t>__________</t>
    </r>
    <r>
      <rPr>
        <sz val="10"/>
        <rFont val="Noto Sans CJK SC"/>
        <family val="2"/>
      </rPr>
      <t>　荧光光源型号：</t>
    </r>
    <r>
      <rPr>
        <sz val="10"/>
        <rFont val="Arial"/>
        <family val="2"/>
      </rPr>
      <t>__________</t>
    </r>
    <r>
      <rPr>
        <sz val="10"/>
        <rFont val="Noto Sans CJK SC"/>
        <family val="2"/>
      </rPr>
      <t>　是否配备上下片机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油泵：</t>
    </r>
    <r>
      <rPr>
        <sz val="10"/>
        <rFont val="Arial"/>
        <family val="2"/>
      </rPr>
      <t>__________</t>
    </r>
  </si>
  <si>
    <t>五、判定标准</t>
  </si>
  <si>
    <r>
      <rPr>
        <sz val="10"/>
        <rFont val="Noto Sans CJK SC"/>
        <family val="2"/>
      </rPr>
      <t>“通过”：功能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性能达到手册描述及验收标准，无异常；</t>
    </r>
  </si>
  <si>
    <t>“不通过”：功能缺失、性能不达标或出现手册“故障诊断”章节所列异常现象；</t>
  </si>
  <si>
    <t>“不适用”：该设备未配置对应选配件或功能（如荧光模块、片机、油泵、细胞扫描等）。</t>
  </si>
  <si>
    <t>六、异常追溯</t>
  </si>
  <si>
    <t>硬件测试项</t>
  </si>
  <si>
    <r>
      <rPr>
        <i/>
        <sz val="10"/>
        <color rgb="FF595959"/>
        <rFont val="Noto Sans CJK SC"/>
        <family val="2"/>
      </rPr>
      <t>对照《软件用户手册》基本设置</t>
    </r>
    <r>
      <rPr>
        <i/>
        <sz val="10"/>
        <color rgb="FF595959"/>
        <rFont val="Arial"/>
        <family val="2"/>
      </rPr>
      <t>/</t>
    </r>
    <r>
      <rPr>
        <i/>
        <sz val="10"/>
        <color rgb="FF595959"/>
        <rFont val="Noto Sans CJK SC"/>
        <family val="2"/>
      </rPr>
      <t>设备校准</t>
    </r>
    <r>
      <rPr>
        <i/>
        <sz val="10"/>
        <color rgb="FF595959"/>
        <rFont val="Arial"/>
        <family val="2"/>
      </rPr>
      <t>/</t>
    </r>
    <r>
      <rPr>
        <i/>
        <sz val="10"/>
        <color rgb="FF595959"/>
        <rFont val="Noto Sans CJK SC"/>
        <family val="2"/>
      </rPr>
      <t>平台操控等章节整理</t>
    </r>
  </si>
  <si>
    <t>序号</t>
  </si>
  <si>
    <t>测试模块</t>
  </si>
  <si>
    <t>测试项</t>
  </si>
  <si>
    <r>
      <rPr>
        <b/>
        <sz val="10"/>
        <color rgb="FFFFFFFF"/>
        <rFont val="Noto Sans CJK SC"/>
        <family val="2"/>
      </rPr>
      <t xml:space="preserve">验收标准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测试内容</t>
    </r>
  </si>
  <si>
    <t>手册依据章节</t>
  </si>
  <si>
    <t>测试结果</t>
  </si>
  <si>
    <t>测试人</t>
  </si>
  <si>
    <t>测试日期</t>
  </si>
  <si>
    <t>备注</t>
  </si>
  <si>
    <t>相机</t>
  </si>
  <si>
    <t>三、相机设置</t>
  </si>
  <si>
    <r>
      <rPr>
        <b/>
        <sz val="10"/>
        <rFont val="Noto Sans CJK SC"/>
        <family val="2"/>
      </rPr>
      <t>平台</t>
    </r>
    <r>
      <rPr>
        <b/>
        <sz val="10"/>
        <rFont val="Arial"/>
        <family val="2"/>
      </rPr>
      <t>(X/Y/Z)</t>
    </r>
  </si>
  <si>
    <t>行程范围</t>
  </si>
  <si>
    <t>与标称参数一致，移动至边界无异响、无撞机</t>
  </si>
  <si>
    <r>
      <rPr>
        <sz val="10"/>
        <rFont val="Noto Sans CJK SC"/>
        <family val="2"/>
      </rPr>
      <t>定位精度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微米级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</si>
  <si>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绝对定位与相对移动误差在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微米以内</t>
    </r>
  </si>
  <si>
    <t>四、平台操控</t>
  </si>
  <si>
    <r>
      <rPr>
        <sz val="10"/>
        <rFont val="Noto Sans CJK SC"/>
        <family val="2"/>
      </rPr>
      <t xml:space="preserve">归位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出片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进片动作</t>
    </r>
  </si>
  <si>
    <r>
      <rPr>
        <sz val="10"/>
        <rFont val="Noto Sans CJK SC"/>
        <family val="2"/>
      </rPr>
      <t>动作到位准确，</t>
    </r>
    <r>
      <rPr>
        <sz val="10"/>
        <rFont val="Arial"/>
        <family val="2"/>
      </rPr>
      <t>Z</t>
    </r>
    <r>
      <rPr>
        <sz val="10"/>
        <rFont val="Noto Sans CJK SC"/>
        <family val="2"/>
      </rPr>
      <t>轴可正确到达焦点位置</t>
    </r>
  </si>
  <si>
    <t>行程限位保护</t>
  </si>
  <si>
    <t>触碰行程边界时平台自动停止，无损坏</t>
  </si>
  <si>
    <r>
      <rPr>
        <sz val="10"/>
        <rFont val="Noto Sans CJK SC"/>
        <family val="2"/>
      </rPr>
      <t>释放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去使能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手动移动</t>
    </r>
  </si>
  <si>
    <t>释放后可手工推动平台，无异常阻力</t>
  </si>
  <si>
    <t>五、物镜设置</t>
  </si>
  <si>
    <t>二、设备校准</t>
  </si>
  <si>
    <t>控制器</t>
  </si>
  <si>
    <r>
      <rPr>
        <sz val="10"/>
        <rFont val="Arial"/>
        <family val="2"/>
      </rPr>
      <t>IP</t>
    </r>
    <r>
      <rPr>
        <sz val="10"/>
        <rFont val="Noto Sans CJK SC"/>
        <family val="2"/>
      </rPr>
      <t>通信连接</t>
    </r>
  </si>
  <si>
    <r>
      <rPr>
        <sz val="10"/>
        <rFont val="Noto Sans CJK SC"/>
        <family val="2"/>
      </rPr>
      <t>电脑与控制器可正常</t>
    </r>
    <r>
      <rPr>
        <sz val="10"/>
        <rFont val="Arial"/>
        <family val="2"/>
      </rPr>
      <t>ping</t>
    </r>
    <r>
      <rPr>
        <sz val="10"/>
        <rFont val="Noto Sans CJK SC"/>
        <family val="2"/>
      </rPr>
      <t>通并建立通信</t>
    </r>
  </si>
  <si>
    <t>秘钥校验</t>
  </si>
  <si>
    <t>错误秘钥拒绝访问，正确秘钥可正常连接</t>
  </si>
  <si>
    <t>断线自动重连</t>
  </si>
  <si>
    <r>
      <rPr>
        <sz val="10"/>
        <rFont val="Noto Sans CJK SC"/>
        <family val="2"/>
      </rPr>
      <t>断电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断网后控制器可自动恢复连接</t>
    </r>
  </si>
  <si>
    <t>荧光光源</t>
  </si>
  <si>
    <t>各通道点亮测试</t>
  </si>
  <si>
    <r>
      <rPr>
        <sz val="10"/>
        <rFont val="Noto Sans CJK SC"/>
        <family val="2"/>
      </rPr>
      <t>蓝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绿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红等各荧光通道均可正常点亮</t>
    </r>
  </si>
  <si>
    <t>六、荧光设置</t>
  </si>
  <si>
    <t>亮度可调性</t>
  </si>
  <si>
    <t>亮度调节线性、无明显闪烁</t>
  </si>
  <si>
    <t>十六、荧光扫描</t>
  </si>
  <si>
    <t>上下片机</t>
  </si>
  <si>
    <r>
      <rPr>
        <sz val="10"/>
        <rFont val="Noto Sans CJK SC"/>
        <family val="2"/>
      </rPr>
      <t xml:space="preserve">装片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卸片动作</t>
    </r>
  </si>
  <si>
    <t>动作顺畅，无卡片、无损片</t>
  </si>
  <si>
    <t>随机上片功能</t>
  </si>
  <si>
    <t>支持任意槽位取放片，且状态识别正确</t>
  </si>
  <si>
    <t>槽位状态刷新</t>
  </si>
  <si>
    <r>
      <rPr>
        <sz val="10"/>
        <rFont val="Noto Sans CJK SC"/>
        <family val="2"/>
      </rPr>
      <t>占用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空闲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已扫描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正扫描等状态显示准确</t>
    </r>
  </si>
  <si>
    <t>整机</t>
  </si>
  <si>
    <r>
      <rPr>
        <sz val="10"/>
        <rFont val="Noto Sans CJK SC"/>
        <family val="2"/>
      </rPr>
      <t>连续扫描稳定性</t>
    </r>
    <r>
      <rPr>
        <sz val="10"/>
        <rFont val="Arial"/>
        <family val="2"/>
      </rPr>
      <t>(≥4</t>
    </r>
    <r>
      <rPr>
        <sz val="10"/>
        <rFont val="Noto Sans CJK SC"/>
        <family val="2"/>
      </rPr>
      <t>小时</t>
    </r>
    <r>
      <rPr>
        <sz val="10"/>
        <rFont val="Arial"/>
        <family val="2"/>
      </rPr>
      <t>)</t>
    </r>
  </si>
  <si>
    <t>无死机、无过热报警、无图像丢失</t>
  </si>
  <si>
    <t>设备启动顺序无关性</t>
  </si>
  <si>
    <r>
      <rPr>
        <sz val="10"/>
        <rFont val="Noto Sans CJK SC"/>
        <family val="2"/>
      </rPr>
      <t>相机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控制器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软件任意顺序启动均可正常连接</t>
    </r>
  </si>
  <si>
    <r>
      <rPr>
        <i/>
        <sz val="9"/>
        <color rgb="FF7F7F7F"/>
        <rFont val="Noto Sans CJK SC"/>
        <family val="2"/>
      </rPr>
      <t xml:space="preserve">注：测试结果请从下拉列表选择“通过 </t>
    </r>
    <r>
      <rPr>
        <i/>
        <sz val="9"/>
        <color rgb="FF7F7F7F"/>
        <rFont val="Arial"/>
        <family val="2"/>
      </rPr>
      <t xml:space="preserve">/ </t>
    </r>
    <r>
      <rPr>
        <i/>
        <sz val="9"/>
        <color rgb="FF7F7F7F"/>
        <rFont val="Noto Sans CJK SC"/>
        <family val="2"/>
      </rPr>
      <t xml:space="preserve">不通过 </t>
    </r>
    <r>
      <rPr>
        <i/>
        <sz val="9"/>
        <color rgb="FF7F7F7F"/>
        <rFont val="Arial"/>
        <family val="2"/>
      </rPr>
      <t xml:space="preserve">/ </t>
    </r>
    <r>
      <rPr>
        <i/>
        <sz val="9"/>
        <color rgb="FF7F7F7F"/>
        <rFont val="Noto Sans CJK SC"/>
        <family val="2"/>
      </rPr>
      <t>不适用”。选配件（如油泵）如未配置，选择“不适用”。</t>
    </r>
  </si>
  <si>
    <t>软件功能测试项</t>
  </si>
  <si>
    <r>
      <rPr>
        <i/>
        <sz val="10"/>
        <color rgb="FF595959"/>
        <rFont val="Noto Sans CJK SC"/>
        <family val="2"/>
      </rPr>
      <t>对照《软件用户手册》各功能章节（一</t>
    </r>
    <r>
      <rPr>
        <i/>
        <sz val="10"/>
        <color rgb="FF595959"/>
        <rFont val="Arial"/>
        <family val="2"/>
      </rPr>
      <t>~</t>
    </r>
    <r>
      <rPr>
        <i/>
        <sz val="10"/>
        <color rgb="FF595959"/>
        <rFont val="Noto Sans CJK SC"/>
        <family val="2"/>
      </rPr>
      <t>十七章）逐项整理</t>
    </r>
  </si>
  <si>
    <t>基本设置</t>
  </si>
  <si>
    <t>中英文语言切换</t>
  </si>
  <si>
    <t>切换后界面文字正确显示，无乱码或未翻译项</t>
  </si>
  <si>
    <t>一、基本设置</t>
  </si>
  <si>
    <r>
      <rPr>
        <sz val="10"/>
        <rFont val="Noto Sans CJK SC"/>
        <family val="2"/>
      </rPr>
      <t>功能权限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全部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鉴权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浏览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</si>
  <si>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设为“鉴权”后需账号密码登录，缺省</t>
    </r>
    <r>
      <rPr>
        <sz val="10"/>
        <rFont val="Arial"/>
        <family val="2"/>
      </rPr>
      <t>admin/admin</t>
    </r>
    <r>
      <rPr>
        <sz val="10"/>
        <rFont val="Noto Sans CJK SC"/>
        <family val="2"/>
      </rPr>
      <t>与</t>
    </r>
    <r>
      <rPr>
        <sz val="10"/>
        <rFont val="Arial"/>
        <family val="2"/>
      </rPr>
      <t>scan/scan</t>
    </r>
    <r>
      <rPr>
        <sz val="10"/>
        <rFont val="Noto Sans CJK SC"/>
        <family val="2"/>
      </rPr>
      <t>有效</t>
    </r>
  </si>
  <si>
    <t>配置文件备份与恢复</t>
  </si>
  <si>
    <t>备份文件可正确恢复并在重启后生效</t>
  </si>
  <si>
    <r>
      <rPr>
        <sz val="10"/>
        <rFont val="Noto Sans CJK SC"/>
        <family val="2"/>
      </rPr>
      <t xml:space="preserve">一、基本设置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十九、</t>
    </r>
    <r>
      <rPr>
        <sz val="10"/>
        <rFont val="Arial"/>
        <family val="2"/>
      </rPr>
      <t>FAQ</t>
    </r>
  </si>
  <si>
    <r>
      <rPr>
        <sz val="10"/>
        <rFont val="Noto Sans CJK SC"/>
        <family val="2"/>
      </rPr>
      <t xml:space="preserve">预览相机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预览扫描开关</t>
    </r>
  </si>
  <si>
    <t>开关生效后对应界面按钮与流程随之变化</t>
  </si>
  <si>
    <r>
      <rPr>
        <sz val="10"/>
        <rFont val="Noto Sans CJK SC"/>
        <family val="2"/>
      </rPr>
      <t xml:space="preserve">一、基本设置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十三、预览扫描</t>
    </r>
  </si>
  <si>
    <t>设备校准</t>
  </si>
  <si>
    <r>
      <rPr>
        <sz val="10"/>
        <rFont val="Arial"/>
        <family val="2"/>
      </rPr>
      <t>Z</t>
    </r>
    <r>
      <rPr>
        <sz val="10"/>
        <rFont val="Noto Sans CJK SC"/>
        <family val="2"/>
      </rPr>
      <t>轴对焦校准</t>
    </r>
  </si>
  <si>
    <t>校准后对焦成功率与准确性提升，无挤压样本风险</t>
  </si>
  <si>
    <r>
      <rPr>
        <sz val="10"/>
        <rFont val="Arial"/>
        <family val="2"/>
      </rPr>
      <t>X/Y</t>
    </r>
    <r>
      <rPr>
        <sz val="10"/>
        <rFont val="Noto Sans CJK SC"/>
        <family val="2"/>
      </rPr>
      <t>轴中心校准</t>
    </r>
  </si>
  <si>
    <t>校准片中心与绿色十字线中心重合</t>
  </si>
  <si>
    <t>相机正交性校准</t>
  </si>
  <si>
    <t>旋转相机后十字线重合，扫描图像不倾斜</t>
  </si>
  <si>
    <t>视场宽度测定</t>
  </si>
  <si>
    <r>
      <rPr>
        <sz val="10"/>
        <rFont val="Noto Sans CJK SC"/>
        <family val="2"/>
      </rPr>
      <t>测定值准确，可正确换算为</t>
    </r>
    <r>
      <rPr>
        <sz val="10"/>
        <rFont val="Arial"/>
        <family val="2"/>
      </rPr>
      <t>20X</t>
    </r>
    <r>
      <rPr>
        <sz val="10"/>
        <rFont val="Noto Sans CJK SC"/>
        <family val="2"/>
      </rPr>
      <t>下数值</t>
    </r>
  </si>
  <si>
    <t>物镜倍数校准</t>
  </si>
  <si>
    <t>实际倍数与标称偏差可通过修改数值校正</t>
  </si>
  <si>
    <t>物镜共轴校准</t>
  </si>
  <si>
    <t>校准后切换物镜目标物不偏离视场中心</t>
  </si>
  <si>
    <r>
      <rPr>
        <sz val="10"/>
        <rFont val="Arial"/>
        <family val="2"/>
      </rPr>
      <t>X/Y</t>
    </r>
    <r>
      <rPr>
        <sz val="10"/>
        <rFont val="Noto Sans CJK SC"/>
        <family val="2"/>
      </rPr>
      <t>轴斜率校准</t>
    </r>
  </si>
  <si>
    <t>斜率校准后对焦成功率与扫描清晰度提升</t>
  </si>
  <si>
    <r>
      <rPr>
        <sz val="10"/>
        <rFont val="Noto Sans CJK SC"/>
        <family val="2"/>
      </rPr>
      <t xml:space="preserve">二、设备校准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十、样本扫描</t>
    </r>
  </si>
  <si>
    <t>相机设置</t>
  </si>
  <si>
    <r>
      <rPr>
        <sz val="10"/>
        <rFont val="Noto Sans CJK SC"/>
        <family val="2"/>
      </rPr>
      <t xml:space="preserve">图像格式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质量 </t>
    </r>
    <r>
      <rPr>
        <sz val="10"/>
        <rFont val="Arial"/>
        <family val="2"/>
      </rPr>
      <t>/ DPI</t>
    </r>
    <r>
      <rPr>
        <sz val="10"/>
        <rFont val="Noto Sans CJK SC"/>
        <family val="2"/>
      </rPr>
      <t>设置</t>
    </r>
  </si>
  <si>
    <t>参数设置后抓拍与扫描图像符合预期规格</t>
  </si>
  <si>
    <r>
      <rPr>
        <sz val="10"/>
        <rFont val="Noto Sans CJK SC"/>
        <family val="2"/>
      </rPr>
      <t xml:space="preserve">电平范围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降噪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锐化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去雾</t>
    </r>
  </si>
  <si>
    <t>调节后图像对比度、清晰度对应改善</t>
  </si>
  <si>
    <t>像差修正</t>
  </si>
  <si>
    <t>使用网格校准片校正后色差与畸变明显减小</t>
  </si>
  <si>
    <t>平台操控</t>
  </si>
  <si>
    <t>测距功能</t>
  </si>
  <si>
    <t>测量结果与平台实际移动距离一致</t>
  </si>
  <si>
    <t>预设对焦点</t>
  </si>
  <si>
    <t>预设点保存正确，可用于跳过对焦直接扫描</t>
  </si>
  <si>
    <t>绝对定位功能</t>
  </si>
  <si>
    <t>输入坐标后平台准确到达指定位置</t>
  </si>
  <si>
    <r>
      <rPr>
        <sz val="10"/>
        <rFont val="Noto Sans CJK SC"/>
        <family val="2"/>
      </rPr>
      <t xml:space="preserve">速度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步长参数设置</t>
    </r>
  </si>
  <si>
    <t>参数设置生效，且受“最大速度”限制约束</t>
  </si>
  <si>
    <t>物镜与对焦</t>
  </si>
  <si>
    <t>颜色过滤对焦</t>
  </si>
  <si>
    <r>
      <rPr>
        <sz val="10"/>
        <rFont val="Noto Sans CJK SC"/>
        <family val="2"/>
      </rPr>
      <t>排除污渍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阴影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盖玻片干扰后对焦准确性提升</t>
    </r>
  </si>
  <si>
    <r>
      <rPr>
        <sz val="10"/>
        <rFont val="Noto Sans CJK SC"/>
        <family val="2"/>
      </rPr>
      <t xml:space="preserve">手动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快速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自动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全自动对焦</t>
    </r>
  </si>
  <si>
    <t>各模式均可成功完成对焦并保存结果</t>
  </si>
  <si>
    <r>
      <rPr>
        <sz val="10"/>
        <rFont val="Noto Sans CJK SC"/>
        <family val="2"/>
      </rPr>
      <t xml:space="preserve">对焦范围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对焦时间参数</t>
    </r>
  </si>
  <si>
    <t>参数调整后对焦速度与成功率相应变化</t>
  </si>
  <si>
    <t>荧光设置</t>
  </si>
  <si>
    <r>
      <rPr>
        <sz val="10"/>
        <rFont val="Noto Sans CJK SC"/>
        <family val="2"/>
      </rPr>
      <t xml:space="preserve">通道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槽位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名称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伪彩配置</t>
    </r>
  </si>
  <si>
    <t>配置保存正确，扫描时对应通道设置生效</t>
  </si>
  <si>
    <t>光源型号选择</t>
  </si>
  <si>
    <t>切换光源型号后功能运行正常</t>
  </si>
  <si>
    <t>样本预览</t>
  </si>
  <si>
    <t>新建扫描拍摄预览图</t>
  </si>
  <si>
    <t>预览图拍摄清晰；未连接相机时仿真预览图正常显示</t>
  </si>
  <si>
    <t>九、样本预览</t>
  </si>
  <si>
    <t>条码识别</t>
  </si>
  <si>
    <r>
      <rPr>
        <sz val="10"/>
        <rFont val="Noto Sans CJK SC"/>
        <family val="2"/>
      </rPr>
      <t>常见一维码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二维码识别准确率达标</t>
    </r>
  </si>
  <si>
    <r>
      <rPr>
        <sz val="10"/>
        <rFont val="Noto Sans CJK SC"/>
        <family val="2"/>
      </rPr>
      <t>标签</t>
    </r>
    <r>
      <rPr>
        <sz val="10"/>
        <rFont val="Arial"/>
        <family val="2"/>
      </rPr>
      <t>OCR</t>
    </r>
    <r>
      <rPr>
        <sz val="10"/>
        <rFont val="Noto Sans CJK SC"/>
        <family val="2"/>
      </rPr>
      <t>文字识别</t>
    </r>
  </si>
  <si>
    <r>
      <rPr>
        <sz val="10"/>
        <rFont val="Noto Sans CJK SC"/>
        <family val="2"/>
      </rPr>
      <t>数字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英文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中文识别准确率达标，置信度过滤有效</t>
    </r>
  </si>
  <si>
    <t>扫描区域自动识别</t>
  </si>
  <si>
    <t>自动框选样本目标物范围准确</t>
  </si>
  <si>
    <t>样本扫描</t>
  </si>
  <si>
    <r>
      <rPr>
        <sz val="10"/>
        <rFont val="Noto Sans CJK SC"/>
        <family val="2"/>
      </rPr>
      <t>扫描对焦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各对焦模式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</si>
  <si>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手选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每</t>
    </r>
    <r>
      <rPr>
        <sz val="10"/>
        <rFont val="Arial"/>
        <family val="2"/>
      </rPr>
      <t>N</t>
    </r>
    <r>
      <rPr>
        <sz val="10"/>
        <rFont val="Noto Sans CJK SC"/>
        <family val="2"/>
      </rPr>
      <t>个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自动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定制对焦模式均正常工作</t>
    </r>
  </si>
  <si>
    <t>十、样本扫描</t>
  </si>
  <si>
    <r>
      <rPr>
        <sz val="10"/>
        <rFont val="Noto Sans CJK SC"/>
        <family val="2"/>
      </rPr>
      <t>扫描模式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正常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快速</t>
    </r>
    <r>
      <rPr>
        <sz val="10"/>
        <rFont val="Arial"/>
        <family val="2"/>
      </rPr>
      <t>/+)</t>
    </r>
  </si>
  <si>
    <t>各模式扫描速度与图像质量符合预期</t>
  </si>
  <si>
    <r>
      <rPr>
        <sz val="10"/>
        <rFont val="Noto Sans CJK SC"/>
        <family val="2"/>
      </rPr>
      <t>拼图模式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无缝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无缝</t>
    </r>
    <r>
      <rPr>
        <sz val="10"/>
        <rFont val="Arial"/>
        <family val="2"/>
      </rPr>
      <t>+/</t>
    </r>
    <r>
      <rPr>
        <sz val="10"/>
        <rFont val="Noto Sans CJK SC"/>
        <family val="2"/>
      </rPr>
      <t>平铺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定制</t>
    </r>
    <r>
      <rPr>
        <sz val="10"/>
        <rFont val="Arial"/>
        <family val="2"/>
      </rPr>
      <t>)</t>
    </r>
  </si>
  <si>
    <t>拼接图像无明显缝隙、无错位</t>
  </si>
  <si>
    <t>多层扫描与景深融合</t>
  </si>
  <si>
    <t>融合图像清晰，边缘检测参数调节有效</t>
  </si>
  <si>
    <t>匀光功能</t>
  </si>
  <si>
    <t>匀光后图像块状不均现象明显改善</t>
  </si>
  <si>
    <t>全景大图导出</t>
  </si>
  <si>
    <r>
      <rPr>
        <sz val="10"/>
        <rFont val="Noto Sans CJK SC"/>
        <family val="2"/>
      </rPr>
      <t>导出文件</t>
    </r>
    <r>
      <rPr>
        <sz val="10"/>
        <rFont val="Arial"/>
        <family val="2"/>
      </rPr>
      <t>(SVS</t>
    </r>
    <r>
      <rPr>
        <sz val="10"/>
        <rFont val="Noto Sans CJK SC"/>
        <family val="2"/>
      </rPr>
      <t>等格式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可被</t>
    </r>
    <r>
      <rPr>
        <sz val="10"/>
        <rFont val="Arial"/>
        <family val="2"/>
      </rPr>
      <t>ImageScope/QuPath</t>
    </r>
    <r>
      <rPr>
        <sz val="10"/>
        <rFont val="Noto Sans CJK SC"/>
        <family val="2"/>
      </rPr>
      <t>正常打开</t>
    </r>
  </si>
  <si>
    <r>
      <rPr>
        <sz val="10"/>
        <rFont val="Noto Sans CJK SC"/>
        <family val="2"/>
      </rPr>
      <t xml:space="preserve">停止扫描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删除扫描</t>
    </r>
  </si>
  <si>
    <t>停止后当前结果被清除，删除功能按预期工作</t>
  </si>
  <si>
    <t>多片扫描</t>
  </si>
  <si>
    <t>多样本连续扫描调度</t>
  </si>
  <si>
    <r>
      <rPr>
        <sz val="10"/>
        <rFont val="Noto Sans CJK SC"/>
        <family val="2"/>
      </rPr>
      <t>待扫描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不扫描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已扫描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正扫描状态切换正确</t>
    </r>
  </si>
  <si>
    <t>十一、多片扫描</t>
  </si>
  <si>
    <t>多区域扫描</t>
  </si>
  <si>
    <r>
      <rPr>
        <sz val="10"/>
        <rFont val="Noto Sans CJK SC"/>
        <family val="2"/>
      </rPr>
      <t>多重区域参数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行列数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偏移</t>
    </r>
    <r>
      <rPr>
        <sz val="10"/>
        <rFont val="Arial"/>
        <family val="2"/>
      </rPr>
      <t>)</t>
    </r>
  </si>
  <si>
    <t>自动创建的扫描区域数量与位置正确</t>
  </si>
  <si>
    <t>十二、多区域扫描</t>
  </si>
  <si>
    <r>
      <rPr>
        <sz val="10"/>
        <rFont val="Noto Sans CJK SC"/>
        <family val="2"/>
      </rPr>
      <t xml:space="preserve">手动创建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禁用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删除扫描区域</t>
    </r>
  </si>
  <si>
    <r>
      <rPr>
        <sz val="10"/>
        <rFont val="Arial"/>
        <family val="2"/>
      </rPr>
      <t>Ctrl+</t>
    </r>
    <r>
      <rPr>
        <sz val="10"/>
        <rFont val="Noto Sans CJK SC"/>
        <family val="2"/>
      </rPr>
      <t>左键、拖动等操作按预期生效</t>
    </r>
  </si>
  <si>
    <t>预览扫描</t>
  </si>
  <si>
    <t>低倍预览扫描替代预览相机</t>
  </si>
  <si>
    <t>扫描结果自动拼接并替换仿真预览图对应区域</t>
  </si>
  <si>
    <t>十三、预览扫描</t>
  </si>
  <si>
    <t>荧光预览扫描</t>
  </si>
  <si>
    <t>荧光通道预览扫描可正常显示透明样本轮廓</t>
  </si>
  <si>
    <t>结果浏览</t>
  </si>
  <si>
    <r>
      <rPr>
        <sz val="10"/>
        <rFont val="Noto Sans CJK SC"/>
        <family val="2"/>
      </rPr>
      <t xml:space="preserve">图像加载与缩放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旋转</t>
    </r>
  </si>
  <si>
    <t>加载速度正常，缩放旋转操作流畅</t>
  </si>
  <si>
    <t>十四、结果浏览</t>
  </si>
  <si>
    <t>标记与测量工具</t>
  </si>
  <si>
    <r>
      <rPr>
        <sz val="10"/>
        <rFont val="Noto Sans CJK SC"/>
        <family val="2"/>
      </rPr>
      <t>矩形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椭圆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直线等标记及测量数值准确</t>
    </r>
  </si>
  <si>
    <t>结果导出功能</t>
  </si>
  <si>
    <r>
      <rPr>
        <sz val="10"/>
        <rFont val="Noto Sans CJK SC"/>
        <family val="2"/>
      </rPr>
      <t>批量导出大图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预览图至指定目录成功</t>
    </r>
  </si>
  <si>
    <t>多窗口同步浏览</t>
  </si>
  <si>
    <t>多个独立结果窗口可同步缩放与移动</t>
  </si>
  <si>
    <t>计数功能</t>
  </si>
  <si>
    <t>明场目标物计数准确性</t>
  </si>
  <si>
    <t>自动识别数量与人工核对结果基本一致</t>
  </si>
  <si>
    <t>十五、计数功能</t>
  </si>
  <si>
    <t>荧光多通道计数</t>
  </si>
  <si>
    <t>阴阳性指标判定与计数报告结果正确</t>
  </si>
  <si>
    <r>
      <rPr>
        <sz val="10"/>
        <rFont val="Noto Sans CJK SC"/>
        <family val="2"/>
      </rPr>
      <t xml:space="preserve">十五、计数功能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十六、荧光扫描</t>
    </r>
  </si>
  <si>
    <r>
      <rPr>
        <sz val="10"/>
        <rFont val="Noto Sans CJK SC"/>
        <family val="2"/>
      </rPr>
      <t>计数结果导出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表格</t>
    </r>
    <r>
      <rPr>
        <sz val="10"/>
        <rFont val="Arial"/>
        <family val="2"/>
      </rPr>
      <t>)</t>
    </r>
  </si>
  <si>
    <t>导出文件包含文件名、目标数量、路径等信息</t>
  </si>
  <si>
    <t>荧光扫描</t>
  </si>
  <si>
    <r>
      <rPr>
        <sz val="10"/>
        <rFont val="Noto Sans CJK SC"/>
        <family val="2"/>
      </rPr>
      <t xml:space="preserve">曝光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增益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电平范围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分通道</t>
    </r>
    <r>
      <rPr>
        <sz val="10"/>
        <rFont val="Arial"/>
        <family val="2"/>
      </rPr>
      <t>)</t>
    </r>
  </si>
  <si>
    <t>各荧光通道参数可独立设置且实时生效</t>
  </si>
  <si>
    <t>通道对齐</t>
  </si>
  <si>
    <t>对齐后各通道图像间偏移基本消除</t>
  </si>
  <si>
    <t>扫描计划与光源模式</t>
  </si>
  <si>
    <r>
      <rPr>
        <sz val="10"/>
        <rFont val="Noto Sans CJK SC"/>
        <family val="2"/>
      </rPr>
      <t xml:space="preserve">通道优先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位置优先模式均可正常运行</t>
    </r>
  </si>
  <si>
    <r>
      <rPr>
        <b/>
        <sz val="10"/>
        <rFont val="Noto Sans CJK SC"/>
        <family val="2"/>
      </rPr>
      <t>细胞扫描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选配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</si>
  <si>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粗扫定位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精扫流程</t>
    </r>
  </si>
  <si>
    <t>低倍定位细胞位置准确，高倍逐个扫描无遗漏</t>
  </si>
  <si>
    <t>十七、细胞扫描</t>
  </si>
  <si>
    <t>滑窗合并与数量限制</t>
  </si>
  <si>
    <t>同滑窗内细胞合并一次拍摄；达到数量上限后停止</t>
  </si>
  <si>
    <t>注：细胞扫描为专用版软件功能，若本机未配置该模块，对应测试项选择“不适用”。</t>
  </si>
  <si>
    <t>测试结果汇总</t>
  </si>
  <si>
    <t>测试类别</t>
  </si>
  <si>
    <t>测试项总数</t>
  </si>
  <si>
    <t>通过数</t>
  </si>
  <si>
    <t>不通过数</t>
  </si>
  <si>
    <t>不适用数</t>
  </si>
  <si>
    <r>
      <rPr>
        <b/>
        <sz val="10"/>
        <color rgb="FFFFFFFF"/>
        <rFont val="Noto Sans CJK SC"/>
        <family val="2"/>
      </rPr>
      <t>通过率</t>
    </r>
    <r>
      <rPr>
        <b/>
        <sz val="10"/>
        <color rgb="FFFFFFFF"/>
        <rFont val="Arial"/>
        <family val="2"/>
      </rPr>
      <t>(%)</t>
    </r>
  </si>
  <si>
    <t>硬件测试</t>
  </si>
  <si>
    <t>软件功能测试</t>
  </si>
  <si>
    <t>合计</t>
  </si>
  <si>
    <t>注：本表格数据根据“硬件测试项”“软件功能测试项”工作表的“测试结果”列自动统计，测试结果填写后本页数据自动刷新。</t>
  </si>
  <si>
    <t>测试人：</t>
  </si>
  <si>
    <t>审核人：</t>
  </si>
  <si>
    <t>日期：</t>
  </si>
  <si>
    <t>活细胞成像工作站调试计划</t>
    <phoneticPr fontId="13" type="noConversion"/>
  </si>
  <si>
    <t>适用范围：厦门海德心活细胞成像工作站出厂前验收测试</t>
    <phoneticPr fontId="13" type="noConversion"/>
  </si>
  <si>
    <t>对出厂前设备的硬件性能与软件功能逐项验证，确保设备到达客户现场后可直接投入正常使用。</t>
    <phoneticPr fontId="13" type="noConversion"/>
  </si>
  <si>
    <r>
      <rPr>
        <sz val="10"/>
        <rFont val="微软雅黑"/>
        <family val="2"/>
        <charset val="134"/>
      </rPr>
      <t>测试中出现异常，优先对照软件手册《十八、故障诊断》章节排查（相机无图像、对焦失败、拼接错位、扫描拖影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模糊、条码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标签识别错误等），并在</t>
    </r>
    <r>
      <rPr>
        <sz val="10"/>
        <rFont val="Noto Sans CJK SC"/>
        <family val="2"/>
        <charset val="134"/>
      </rPr>
      <t>“</t>
    </r>
    <r>
      <rPr>
        <sz val="10"/>
        <rFont val="微软雅黑"/>
        <family val="2"/>
        <charset val="134"/>
      </rPr>
      <t>备注</t>
    </r>
    <r>
      <rPr>
        <sz val="10"/>
        <rFont val="Noto Sans CJK SC"/>
        <family val="2"/>
        <charset val="134"/>
      </rPr>
      <t>”</t>
    </r>
    <r>
      <rPr>
        <sz val="10"/>
        <rFont val="微软雅黑"/>
        <family val="2"/>
        <charset val="134"/>
      </rPr>
      <t>栏记录处理结果。</t>
    </r>
    <phoneticPr fontId="13" type="noConversion"/>
  </si>
  <si>
    <t>整机</t>
    <phoneticPr fontId="13" type="noConversion"/>
  </si>
  <si>
    <t>初始化自检</t>
    <phoneticPr fontId="13" type="noConversion"/>
  </si>
  <si>
    <t>\</t>
    <phoneticPr fontId="13" type="noConversion"/>
  </si>
  <si>
    <t>开启仪器电源，初始化自检通过，无异响</t>
    <phoneticPr fontId="13" type="noConversion"/>
  </si>
  <si>
    <t>物镜转盘</t>
    <phoneticPr fontId="13" type="noConversion"/>
  </si>
  <si>
    <t>物镜转盘定位精度</t>
    <phoneticPr fontId="13" type="noConversion"/>
  </si>
  <si>
    <t>切换3个物镜，从相同、不同位置转到同一位置重复定位精度；3个位置之间同心</t>
    <phoneticPr fontId="13" type="noConversion"/>
  </si>
  <si>
    <t>明场光源在不同视野亮度一致</t>
    <phoneticPr fontId="13" type="noConversion"/>
  </si>
  <si>
    <t>查看拼接图中各视野亮度差异是否过大</t>
    <phoneticPr fontId="13" type="noConversion"/>
  </si>
  <si>
    <r>
      <rPr>
        <sz val="10"/>
        <rFont val="微软雅黑"/>
        <family val="2"/>
        <charset val="134"/>
      </rPr>
      <t>相机、平台</t>
    </r>
    <r>
      <rPr>
        <sz val="10"/>
        <rFont val="Arial"/>
        <family val="2"/>
      </rPr>
      <t>(X/Y/Z)</t>
    </r>
    <r>
      <rPr>
        <sz val="10"/>
        <rFont val="微软雅黑"/>
        <family val="2"/>
        <charset val="134"/>
      </rPr>
      <t>、物镜转换器、控制器、荧光光源、上下片机、油泵、整机稳定性；</t>
    </r>
    <phoneticPr fontId="13" type="noConversion"/>
  </si>
  <si>
    <t>相机靶面/光路无杂质</t>
  </si>
  <si>
    <t>模块</t>
  </si>
  <si>
    <t>测试步骤</t>
  </si>
  <si>
    <t>预期结果</t>
  </si>
  <si>
    <t>输出（留存记录）</t>
  </si>
  <si>
    <t>物镜转盘重复定位精度</t>
  </si>
  <si>
    <t>显微镜测量校准片</t>
  </si>
  <si>
    <t>各镜孔切换快照图及像素位置统计表</t>
  </si>
  <si>
    <t>物镜共轴性校准复核</t>
  </si>
  <si>
    <t>电动切换到位与防撞</t>
  </si>
  <si>
    <t>-</t>
  </si>
  <si>
    <t>无不随视野移动的暗斑或亮斑</t>
  </si>
  <si>
    <t>空白载玻片</t>
  </si>
  <si>
    <t>明场光源居中</t>
  </si>
  <si>
    <t>圆形照明区域位于视野中心</t>
  </si>
  <si>
    <t>载玻片</t>
  </si>
  <si>
    <t>截图</t>
  </si>
  <si>
    <t>不同倍镜下明场光源均匀性（暗角）</t>
  </si>
  <si>
    <t>无明显暗角，或轻微暗角在四角对称分布</t>
  </si>
  <si>
    <t>各物镜明场快照图像</t>
  </si>
  <si>
    <t>不同倍镜下荧光光源均匀性（暗角）</t>
  </si>
  <si>
    <t>无明显暗角，四角对称分布，各通道成像状态基本一致</t>
  </si>
  <si>
    <t>各通道荧光校准玻片</t>
  </si>
  <si>
    <t>使用水平仪测量载物台表面水平度，如不水平则调整至水平</t>
  </si>
  <si>
    <t>载物台水平，读数偏差在仪器允许范围内</t>
  </si>
  <si>
    <t>水平仪</t>
  </si>
  <si>
    <t>水平仪读数照片</t>
  </si>
  <si>
    <t>可正常到达标称行程边界，无异响、无撞机，限位保护有效</t>
  </si>
  <si>
    <t>常规样本</t>
  </si>
  <si>
    <t>样本装载牢固，扫描过程中无移位</t>
  </si>
  <si>
    <t>玻片、孔板（如适用）</t>
  </si>
  <si>
    <t>各通道点亮与颜色核对</t>
  </si>
  <si>
    <t>各通道均能正常点亮，颜色与配置一致</t>
  </si>
  <si>
    <t>设备外观</t>
  </si>
  <si>
    <t>检查设备外观是否有剐蹭、掉漆、毛刺、明显色差、外壳凹陷</t>
  </si>
  <si>
    <t>外观良好，无损伤</t>
  </si>
  <si>
    <t>各方向外观拍照</t>
  </si>
  <si>
    <t>核对设备标识（警告标识、型号铭牌、认证标识等）数量与位置</t>
  </si>
  <si>
    <t>标识齐全、位置正确、无偏斜</t>
  </si>
  <si>
    <t>标识拍照</t>
  </si>
  <si>
    <t>静置后设备可正常初始化并开始扫描，无需重启</t>
  </si>
  <si>
    <t>扫描结果截图</t>
  </si>
  <si>
    <t>长时间连续扫描稳定性</t>
  </si>
  <si>
    <t>连续运行无死机、无相机断连、无对焦失败堆积，图像位置与亮度无明显漂移</t>
  </si>
  <si>
    <t>多片样本</t>
  </si>
  <si>
    <t>全程扫描图集、异常日志</t>
  </si>
  <si>
    <t>按活细胞成像工作站自身功能模块（手册一~十七章节）划分，蓝色“硬件”/绿色“软件”区分类型；黄色底纹为选配模块测试项</t>
  </si>
  <si>
    <t>类型</t>
  </si>
  <si>
    <t>所需物料/耗材</t>
  </si>
  <si>
    <t>整机外观与硬件基础</t>
  </si>
  <si>
    <t>硬件</t>
  </si>
  <si>
    <t>安全标识/铭牌</t>
  </si>
  <si>
    <t>视场宽度（像素长度）标定</t>
  </si>
  <si>
    <t>使用空白样本，40X或更高倍物镜，明场实时画面下开启自动曝光，全行程移动Z轴找到焦面后左右移动XY，观察是否存在不随视野移动的暗斑/亮斑；提高对比度后在焦面正负三个景深范围内再次确认</t>
  </si>
  <si>
    <t>不同视野快照图像（≥3张）</t>
  </si>
  <si>
    <t>载玻片置于载物台，4X物镜下找到焦面，调整亮度/对比度极值使画面仅保留最亮圆形照明区域，观察其是否居中</t>
  </si>
  <si>
    <t>使用4X/10X/20X/40X物镜依次找到焦面并快照，观察四角是否存在明显暗角</t>
  </si>
  <si>
    <t>X/Y/Z行程校验</t>
  </si>
  <si>
    <t>软件控制平台依次运动至X/Y/Z各轴行程最大值/最小值</t>
  </si>
  <si>
    <t>样本固定/卡夹牢靠性</t>
  </si>
  <si>
    <t>分别装载玻片与孔板（如支持），重复开关仓/装卸样本10次，检查样本是否松动或位置偏移</t>
  </si>
  <si>
    <t>1、各镜孔安装物镜（如4X/10X/20X/40X），使用显微镜测量校准片作为基准样本；
2、选定校准片上一个清晰特征点，置于视场中心作为基准位置；
3、在各镜孔间两两切换，每次切换后自动对焦并快照存图，重复5次；
4、比较同一镜孔多次切换回来后，图像中同一特征点的像素位置极差</t>
  </si>
  <si>
    <t>打开“设置-物镜-电动”开关后，切换至高倍物镜，观察平台是否自动下降避让；连续切换全部镜孔10次</t>
  </si>
  <si>
    <t>高倍切换时平台自动下降，全程无物镜与载物台/样本碰撞现象</t>
  </si>
  <si>
    <t>使用各通道荧光校准玻片，分别在4X/20X物镜下找焦面并快照，观察四角暗角情况</t>
  </si>
  <si>
    <t>各通道/各物镜快照图像</t>
  </si>
  <si>
    <t>依次点亮各荧光通道（蓝/绿/橙/红等），核对滤光片与配置名称是否一致</t>
  </si>
  <si>
    <t>整机稳定性与兼容性</t>
  </si>
  <si>
    <t>初始化后不进行扫描，静置24小时后重新启动扫描</t>
  </si>
  <si>
    <t>按预设脚本，使用多片/多区域/多通道连续扫描≥8小时，比较不同时间点同一视野图像的位置与亮度差异</t>
  </si>
  <si>
    <t>长时间连续扫描软件稳定性（脚本）</t>
  </si>
  <si>
    <t>软件无崩溃、无因内存泄漏导致的卡顿，扫描进度与结果正常</t>
  </si>
  <si>
    <t>预设测试脚本</t>
  </si>
  <si>
    <t>运行日志、扫描图集</t>
  </si>
  <si>
    <t>分模块测试项</t>
    <phoneticPr fontId="13" type="noConversion"/>
  </si>
  <si>
    <t>初始化自检</t>
    <phoneticPr fontId="13" type="noConversion"/>
  </si>
  <si>
    <t>仪器上电</t>
    <phoneticPr fontId="13" type="noConversion"/>
  </si>
  <si>
    <t>无报错异响</t>
    <phoneticPr fontId="13" type="noConversion"/>
  </si>
  <si>
    <r>
      <rPr>
        <sz val="9.5"/>
        <rFont val="微软雅黑"/>
        <family val="2"/>
        <charset val="134"/>
      </rPr>
      <t>使用</t>
    </r>
    <r>
      <rPr>
        <sz val="9.5"/>
        <rFont val="Arial"/>
        <family val="2"/>
      </rPr>
      <t>4X/10X/20X/40X</t>
    </r>
    <r>
      <rPr>
        <sz val="9.5"/>
        <rFont val="微软雅黑"/>
        <family val="2"/>
        <charset val="134"/>
      </rPr>
      <t>物镜分别测量视场宽度：移动清晰目标物从画面最左侧到最右侧，记录</t>
    </r>
    <r>
      <rPr>
        <sz val="9.5"/>
        <rFont val="Arial"/>
        <family val="2"/>
      </rPr>
      <t>X</t>
    </r>
    <r>
      <rPr>
        <sz val="9.5"/>
        <rFont val="微软雅黑"/>
        <family val="2"/>
        <charset val="134"/>
      </rPr>
      <t>轴移动距离并换算为</t>
    </r>
    <r>
      <rPr>
        <sz val="9.5"/>
        <rFont val="Arial"/>
        <family val="2"/>
      </rPr>
      <t>20X</t>
    </r>
    <r>
      <rPr>
        <sz val="9.5"/>
        <rFont val="微软雅黑"/>
        <family val="2"/>
        <charset val="134"/>
      </rPr>
      <t>下数值</t>
    </r>
    <phoneticPr fontId="13" type="noConversion"/>
  </si>
  <si>
    <t>硬件</t>
    <phoneticPr fontId="13" type="noConversion"/>
  </si>
  <si>
    <r>
      <t>Z/X/Y</t>
    </r>
    <r>
      <rPr>
        <sz val="9.5"/>
        <rFont val="宋体"/>
        <family val="2"/>
        <charset val="134"/>
      </rPr>
      <t>轴校准</t>
    </r>
    <phoneticPr fontId="13" type="noConversion"/>
  </si>
  <si>
    <t>\</t>
    <phoneticPr fontId="13" type="noConversion"/>
  </si>
  <si>
    <r>
      <rPr>
        <sz val="9.5"/>
        <rFont val="宋体"/>
        <family val="2"/>
        <charset val="134"/>
      </rPr>
      <t>旋转相机角度，</t>
    </r>
    <r>
      <rPr>
        <sz val="9.5"/>
        <rFont val="Arial"/>
        <family val="2"/>
        <charset val="134"/>
      </rPr>
      <t xml:space="preserve"> </t>
    </r>
    <r>
      <rPr>
        <sz val="9.5"/>
        <rFont val="宋体"/>
        <family val="2"/>
        <charset val="134"/>
      </rPr>
      <t>使校准片中心十字线和绿色十字线重合。</t>
    </r>
    <r>
      <rPr>
        <sz val="9.5"/>
        <rFont val="Arial"/>
        <family val="2"/>
        <charset val="134"/>
      </rPr>
      <t xml:space="preserve"> </t>
    </r>
    <r>
      <rPr>
        <sz val="9.5"/>
        <rFont val="宋体"/>
        <family val="2"/>
        <charset val="134"/>
      </rPr>
      <t>固定紧相机</t>
    </r>
    <phoneticPr fontId="13" type="noConversion"/>
  </si>
  <si>
    <r>
      <t xml:space="preserve">X/Y </t>
    </r>
    <r>
      <rPr>
        <sz val="9.5"/>
        <rFont val="微软雅黑"/>
        <family val="2"/>
        <charset val="134"/>
      </rPr>
      <t>轴斜率校准</t>
    </r>
    <phoneticPr fontId="13" type="noConversion"/>
  </si>
  <si>
    <r>
      <rPr>
        <sz val="9.5"/>
        <rFont val="微软雅黑"/>
        <family val="2"/>
        <charset val="134"/>
      </rPr>
      <t>选定一个清晰目标物置于视场中心，</t>
    </r>
    <r>
      <rPr>
        <sz val="9.5"/>
        <rFont val="Arial"/>
        <family val="2"/>
      </rPr>
      <t xml:space="preserve"> </t>
    </r>
    <r>
      <rPr>
        <sz val="9.5"/>
        <rFont val="微软雅黑"/>
        <family val="2"/>
        <charset val="134"/>
      </rPr>
      <t>将此位置设置为基准位置（或者理解为此时进入了共轴校准状态）</t>
    </r>
    <r>
      <rPr>
        <sz val="9.5"/>
        <rFont val="Arial"/>
        <family val="2"/>
      </rPr>
      <t xml:space="preserve"> </t>
    </r>
    <r>
      <rPr>
        <sz val="9.5"/>
        <rFont val="微软雅黑"/>
        <family val="2"/>
        <charset val="134"/>
      </rPr>
      <t>；</t>
    </r>
    <r>
      <rPr>
        <sz val="9.5"/>
        <rFont val="Arial"/>
        <family val="2"/>
      </rPr>
      <t xml:space="preserve"> </t>
    </r>
    <r>
      <rPr>
        <sz val="9.5"/>
        <rFont val="微软雅黑"/>
        <family val="2"/>
        <charset val="134"/>
      </rPr>
      <t>再切换到待校准的物镜，</t>
    </r>
    <r>
      <rPr>
        <sz val="9.5"/>
        <rFont val="Arial"/>
        <family val="2"/>
      </rPr>
      <t xml:space="preserve"> </t>
    </r>
    <r>
      <rPr>
        <sz val="9.5"/>
        <rFont val="微软雅黑"/>
        <family val="2"/>
        <charset val="134"/>
      </rPr>
      <t>移动平台使目标物回到视场中心，则此物镜的轴偏移被校准完成。</t>
    </r>
    <r>
      <rPr>
        <sz val="9.5"/>
        <rFont val="Arial"/>
        <family val="2"/>
      </rPr>
      <t xml:space="preserve"> </t>
    </r>
    <r>
      <rPr>
        <sz val="9.5"/>
        <rFont val="微软雅黑"/>
        <family val="2"/>
        <charset val="134"/>
      </rPr>
      <t>后续切换物镜时，</t>
    </r>
    <r>
      <rPr>
        <sz val="9.5"/>
        <rFont val="Arial"/>
        <family val="2"/>
      </rPr>
      <t xml:space="preserve"> </t>
    </r>
    <r>
      <rPr>
        <sz val="9.5"/>
        <rFont val="微软雅黑"/>
        <family val="2"/>
        <charset val="134"/>
      </rPr>
      <t>系统会自动修正偏移量，</t>
    </r>
    <r>
      <rPr>
        <sz val="9.5"/>
        <rFont val="Arial"/>
        <family val="2"/>
      </rPr>
      <t xml:space="preserve"> </t>
    </r>
    <r>
      <rPr>
        <sz val="9.5"/>
        <rFont val="微软雅黑"/>
        <family val="2"/>
        <charset val="134"/>
      </rPr>
      <t>以使视场中</t>
    </r>
    <r>
      <rPr>
        <sz val="9.5"/>
        <rFont val="Arial"/>
        <family val="2"/>
      </rPr>
      <t xml:space="preserve">
</t>
    </r>
    <r>
      <rPr>
        <sz val="9.5"/>
        <rFont val="微软雅黑"/>
        <family val="2"/>
        <charset val="134"/>
      </rPr>
      <t>心不动。</t>
    </r>
    <phoneticPr fontId="13" type="noConversion"/>
  </si>
  <si>
    <t>设备校准</t>
    <phoneticPr fontId="13" type="noConversion"/>
  </si>
  <si>
    <t>相机正交性校准</t>
    <phoneticPr fontId="13" type="noConversion"/>
  </si>
  <si>
    <t>载物台水平度</t>
    <phoneticPr fontId="13" type="noConversion"/>
  </si>
  <si>
    <t>仓门</t>
    <phoneticPr fontId="13" type="noConversion"/>
  </si>
  <si>
    <t>打开关闭仓门</t>
    <phoneticPr fontId="13" type="noConversion"/>
  </si>
  <si>
    <t>无阻塞与异响</t>
    <phoneticPr fontId="13" type="noConversion"/>
  </si>
  <si>
    <t>载物台</t>
    <phoneticPr fontId="13" type="noConversion"/>
  </si>
  <si>
    <t>物镜</t>
    <phoneticPr fontId="13" type="noConversion"/>
  </si>
  <si>
    <r>
      <t>1</t>
    </r>
    <r>
      <rPr>
        <sz val="9.5"/>
        <rFont val="微软雅黑"/>
        <family val="2"/>
        <charset val="134"/>
      </rPr>
      <t xml:space="preserve">、切换到位准确，无卡顿或异响；
</t>
    </r>
    <r>
      <rPr>
        <sz val="9.5"/>
        <rFont val="Arial"/>
        <family val="2"/>
      </rPr>
      <t>2</t>
    </r>
    <r>
      <rPr>
        <sz val="9.5"/>
        <rFont val="微软雅黑"/>
        <family val="2"/>
        <charset val="134"/>
      </rPr>
      <t>、同一镜孔重复定位像素位置极差在</t>
    </r>
    <r>
      <rPr>
        <sz val="9.5"/>
        <color rgb="FFFF0000"/>
        <rFont val="微软雅黑"/>
        <family val="2"/>
        <charset val="134"/>
      </rPr>
      <t>XX个</t>
    </r>
    <r>
      <rPr>
        <sz val="9.5"/>
        <rFont val="微软雅黑"/>
        <family val="2"/>
        <charset val="134"/>
      </rPr>
      <t>像素以内</t>
    </r>
    <phoneticPr fontId="13" type="noConversion"/>
  </si>
  <si>
    <t>荧光通道</t>
    <phoneticPr fontId="13" type="noConversion"/>
  </si>
  <si>
    <t>长时间待机稳定性</t>
    <phoneticPr fontId="13" type="noConversion"/>
  </si>
  <si>
    <r>
      <rPr>
        <sz val="9.5"/>
        <rFont val="微软雅黑"/>
        <family val="2"/>
        <charset val="134"/>
      </rPr>
      <t>按预设脚本连续运行多孔</t>
    </r>
    <r>
      <rPr>
        <sz val="9.5"/>
        <rFont val="Arial"/>
        <family val="2"/>
      </rPr>
      <t>/</t>
    </r>
    <r>
      <rPr>
        <sz val="9.5"/>
        <rFont val="微软雅黑"/>
        <family val="2"/>
        <charset val="134"/>
      </rPr>
      <t>多视野</t>
    </r>
    <r>
      <rPr>
        <sz val="9.5"/>
        <rFont val="Arial"/>
        <family val="2"/>
      </rPr>
      <t>/</t>
    </r>
    <r>
      <rPr>
        <sz val="9.5"/>
        <rFont val="微软雅黑"/>
        <family val="2"/>
        <charset val="134"/>
      </rPr>
      <t>多层</t>
    </r>
    <r>
      <rPr>
        <sz val="9.5"/>
        <rFont val="Arial"/>
        <family val="2"/>
      </rPr>
      <t>/</t>
    </r>
    <r>
      <rPr>
        <sz val="9.5"/>
        <rFont val="微软雅黑"/>
        <family val="2"/>
        <charset val="134"/>
      </rPr>
      <t>多通道扫描</t>
    </r>
    <r>
      <rPr>
        <sz val="9.5"/>
        <rFont val="Arial"/>
        <family val="2"/>
      </rPr>
      <t>≥4</t>
    </r>
    <r>
      <rPr>
        <sz val="9.5"/>
        <rFont val="微软雅黑"/>
        <family val="2"/>
        <charset val="134"/>
      </rPr>
      <t>小时（与上一硬件项合并执行）</t>
    </r>
    <phoneticPr fontId="13" type="noConversion"/>
  </si>
  <si>
    <t>光源与相机</t>
    <phoneticPr fontId="13" type="noConversion"/>
  </si>
  <si>
    <t>明场光源在不同视野亮度一致</t>
    <phoneticPr fontId="13" type="noConversion"/>
  </si>
  <si>
    <r>
      <t>1</t>
    </r>
    <r>
      <rPr>
        <sz val="9.5"/>
        <rFont val="微软雅黑"/>
        <family val="2"/>
        <charset val="134"/>
      </rPr>
      <t>、</t>
    </r>
    <r>
      <rPr>
        <sz val="9.5"/>
        <rFont val="Arial"/>
        <family val="2"/>
      </rPr>
      <t>96</t>
    </r>
    <r>
      <rPr>
        <sz val="9.5"/>
        <rFont val="微软雅黑"/>
        <family val="2"/>
        <charset val="134"/>
      </rPr>
      <t>孔板空板，</t>
    </r>
    <r>
      <rPr>
        <sz val="9.5"/>
        <rFont val="Arial"/>
        <family val="2"/>
      </rPr>
      <t>10x</t>
    </r>
    <r>
      <rPr>
        <sz val="9.5"/>
        <rFont val="微软雅黑"/>
        <family val="2"/>
        <charset val="134"/>
      </rPr>
      <t>物镜，</t>
    </r>
    <r>
      <rPr>
        <sz val="9.5"/>
        <rFont val="Arial"/>
        <family val="2"/>
      </rPr>
      <t>4*4</t>
    </r>
    <r>
      <rPr>
        <sz val="9.5"/>
        <rFont val="微软雅黑"/>
        <family val="2"/>
        <charset val="134"/>
      </rPr>
      <t xml:space="preserve">个视野
</t>
    </r>
    <r>
      <rPr>
        <sz val="9.5"/>
        <rFont val="Arial"/>
        <family val="2"/>
      </rPr>
      <t>2</t>
    </r>
    <r>
      <rPr>
        <sz val="9.5"/>
        <rFont val="微软雅黑"/>
        <family val="2"/>
        <charset val="134"/>
      </rPr>
      <t xml:space="preserve">、明场采集，后处理启用拼接
</t>
    </r>
    <r>
      <rPr>
        <sz val="9.5"/>
        <rFont val="Arial"/>
        <family val="2"/>
      </rPr>
      <t>3</t>
    </r>
    <r>
      <rPr>
        <sz val="9.5"/>
        <rFont val="微软雅黑"/>
        <family val="2"/>
        <charset val="134"/>
      </rPr>
      <t>、查看拼接图中各视野亮度差异是否过大（参考参照拼接图）</t>
    </r>
    <phoneticPr fontId="13" type="noConversion"/>
  </si>
  <si>
    <t>与参照图基本一致</t>
    <phoneticPr fontId="13" type="noConversion"/>
  </si>
  <si>
    <t>相机运动坐标系与相机坐标系无角度偏移</t>
    <phoneticPr fontId="13" type="noConversion"/>
  </si>
  <si>
    <r>
      <t>1</t>
    </r>
    <r>
      <rPr>
        <sz val="9.5"/>
        <rFont val="微软雅黑"/>
        <family val="2"/>
        <charset val="134"/>
      </rPr>
      <t>、明场下，设置重叠率</t>
    </r>
    <r>
      <rPr>
        <sz val="9.5"/>
        <rFont val="Arial"/>
        <family val="2"/>
      </rPr>
      <t>10%</t>
    </r>
    <r>
      <rPr>
        <sz val="9.5"/>
        <rFont val="微软雅黑"/>
        <family val="2"/>
        <charset val="134"/>
      </rPr>
      <t>以上，</t>
    </r>
    <r>
      <rPr>
        <sz val="9.5"/>
        <rFont val="Arial"/>
        <family val="2"/>
      </rPr>
      <t>4*4</t>
    </r>
    <r>
      <rPr>
        <sz val="9.5"/>
        <rFont val="微软雅黑"/>
        <family val="2"/>
        <charset val="134"/>
      </rPr>
      <t>个视野</t>
    </r>
    <r>
      <rPr>
        <sz val="9.5"/>
        <rFont val="Arial"/>
        <family val="2"/>
      </rPr>
      <t xml:space="preserve">
2</t>
    </r>
    <r>
      <rPr>
        <sz val="9.5"/>
        <rFont val="微软雅黑"/>
        <family val="2"/>
        <charset val="134"/>
      </rPr>
      <t>、后处理启用拼接，不勾选计算偏移，运行采集</t>
    </r>
    <r>
      <rPr>
        <sz val="9.5"/>
        <rFont val="Arial"/>
        <family val="2"/>
      </rPr>
      <t xml:space="preserve">
3</t>
    </r>
    <r>
      <rPr>
        <sz val="9.5"/>
        <rFont val="微软雅黑"/>
        <family val="2"/>
        <charset val="134"/>
      </rPr>
      <t>、查看拼接图，视野相邻处是否有明显拼缝</t>
    </r>
    <phoneticPr fontId="13" type="noConversion"/>
  </si>
  <si>
    <t>拼接无畸变，无明显拼缝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</si>
</sst>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\%"/>
  </numFmts>
  <fonts count="32">
    <font>
      <sz val="11"/>
      <color theme="1"/>
      <name val="Calibri"/>
      <family val="2"/>
      <charset val="1"/>
    </font>
    <font>
      <i/>
      <sz val="10"/>
      <color rgb="FF595959"/>
      <name val="Noto Sans CJK SC"/>
      <family val="2"/>
    </font>
    <font>
      <b/>
      <sz val="10"/>
      <color rgb="FF1F4E78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4"/>
      <color rgb="FF1F4E78"/>
      <name val="Noto Sans CJK SC"/>
      <family val="2"/>
    </font>
    <font>
      <i/>
      <sz val="10"/>
      <color rgb="FF595959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i/>
      <sz val="9"/>
      <color rgb="FF7F7F7F"/>
      <name val="Noto Sans CJK SC"/>
      <family val="2"/>
    </font>
    <font>
      <i/>
      <sz val="9"/>
      <color rgb="FF7F7F7F"/>
      <name val="Arial"/>
      <family val="2"/>
    </font>
    <font>
      <sz val="9"/>
      <name val="宋体"/>
      <family val="3"/>
      <charset val="134"/>
    </font>
    <font>
      <i/>
      <sz val="10"/>
      <color rgb="FF595959"/>
      <name val="微软雅黑"/>
      <family val="2"/>
      <charset val="134"/>
    </font>
    <font>
      <b/>
      <sz val="16"/>
      <color rgb="FF1F4E78"/>
      <name val="微软雅黑"/>
      <family val="2"/>
      <charset val="134"/>
    </font>
    <font>
      <sz val="10"/>
      <name val="微软雅黑"/>
      <family val="2"/>
      <charset val="134"/>
    </font>
    <font>
      <sz val="10"/>
      <name val="Noto Sans CJK SC"/>
      <family val="2"/>
      <charset val="134"/>
    </font>
    <font>
      <b/>
      <sz val="10"/>
      <name val="微软雅黑"/>
      <family val="2"/>
      <charset val="134"/>
    </font>
    <font>
      <sz val="9.5"/>
      <name val="Arial"/>
      <family val="2"/>
    </font>
    <font>
      <b/>
      <sz val="9.5"/>
      <name val="Arial"/>
      <family val="2"/>
    </font>
    <font>
      <b/>
      <sz val="9.5"/>
      <color rgb="FF1F4E78"/>
      <name val="Arial"/>
      <family val="2"/>
    </font>
    <font>
      <b/>
      <sz val="14"/>
      <color rgb="FF1F4E78"/>
      <name val="微软雅黑"/>
      <family val="2"/>
      <charset val="134"/>
    </font>
    <font>
      <sz val="9.5"/>
      <name val="宋体"/>
      <family val="2"/>
      <charset val="134"/>
    </font>
    <font>
      <sz val="9.5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.5"/>
      <name val="Arial"/>
      <family val="2"/>
      <charset val="134"/>
    </font>
    <font>
      <b/>
      <sz val="9.5"/>
      <color rgb="FF1F4E78"/>
      <name val="宋体"/>
      <family val="2"/>
      <charset val="134"/>
    </font>
    <font>
      <b/>
      <sz val="9.5"/>
      <name val="微软雅黑"/>
      <family val="2"/>
      <charset val="134"/>
    </font>
    <font>
      <b/>
      <sz val="9.5"/>
      <name val="宋体"/>
      <family val="2"/>
      <charset val="134"/>
    </font>
    <font>
      <sz val="9.5"/>
      <color rgb="FFFF0000"/>
      <name val="微软雅黑"/>
      <family val="2"/>
      <charset val="134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C0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176" fontId="4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8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2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11" fillId="0" borderId="0" xfId="0" applyFont="1" applyAlignment="1">
      <alignment vertical="top" wrapText="1"/>
    </xf>
    <xf numFmtId="0" fontId="20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0" fontId="25" fillId="0" borderId="0" xfId="0" applyFont="1"/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29" fillId="0" borderId="1" xfId="0" applyFont="1" applyBorder="1" applyAlignment="1">
      <alignment horizontal="center" vertical="center" wrapText="1"/>
    </xf>
    <xf numFmtId="0" fontId="3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0"/>
  <sheetViews>
    <sheetView showGridLines="0" zoomScaleNormal="100" workbookViewId="0">
      <selection activeCell="B14" sqref="B14"/>
    </sheetView>
  </sheetViews>
  <sheetFormatPr defaultColWidth="8.6640625" defaultRowHeight="14.4"/>
  <cols>
    <col min="1" max="1" width="4" customWidth="1"/>
    <col min="2" max="2" width="100" customWidth="1"/>
  </cols>
  <sheetData>
    <row r="1" spans="2:2" ht="23.4">
      <c r="B1" s="16" t="s">
        <v>217</v>
      </c>
    </row>
    <row r="2" spans="2:2" ht="15">
      <c r="B2" s="15" t="s">
        <v>218</v>
      </c>
    </row>
    <row r="4" spans="2:2">
      <c r="B4" s="1" t="s">
        <v>0</v>
      </c>
    </row>
    <row r="5" spans="2:2" ht="15">
      <c r="B5" s="17" t="s">
        <v>219</v>
      </c>
    </row>
    <row r="7" spans="2:2">
      <c r="B7" s="1" t="s">
        <v>1</v>
      </c>
    </row>
    <row r="8" spans="2:2" ht="15">
      <c r="B8" s="18" t="s">
        <v>230</v>
      </c>
    </row>
    <row r="10" spans="2:2">
      <c r="B10" s="1" t="s">
        <v>2</v>
      </c>
    </row>
    <row r="11" spans="2:2">
      <c r="B11" s="3" t="s">
        <v>3</v>
      </c>
    </row>
    <row r="12" spans="2:2">
      <c r="B12" s="3" t="s">
        <v>4</v>
      </c>
    </row>
    <row r="13" spans="2:2">
      <c r="B13" s="3" t="s">
        <v>5</v>
      </c>
    </row>
    <row r="14" spans="2:2">
      <c r="B14" s="3" t="s">
        <v>6</v>
      </c>
    </row>
    <row r="15" spans="2:2">
      <c r="B15" s="3" t="s">
        <v>7</v>
      </c>
    </row>
    <row r="17" spans="2:2">
      <c r="B17" s="1" t="s">
        <v>8</v>
      </c>
    </row>
    <row r="18" spans="2:2">
      <c r="B18" s="2" t="s">
        <v>9</v>
      </c>
    </row>
    <row r="19" spans="2:2">
      <c r="B19" s="2" t="s">
        <v>10</v>
      </c>
    </row>
    <row r="21" spans="2:2">
      <c r="B21" s="1" t="s">
        <v>11</v>
      </c>
    </row>
    <row r="22" spans="2:2">
      <c r="B22" s="2" t="s">
        <v>12</v>
      </c>
    </row>
    <row r="23" spans="2:2">
      <c r="B23" s="2" t="s">
        <v>13</v>
      </c>
    </row>
    <row r="24" spans="2:2">
      <c r="B24" s="2" t="s">
        <v>14</v>
      </c>
    </row>
    <row r="26" spans="2:2">
      <c r="B26" s="1" t="s">
        <v>15</v>
      </c>
    </row>
    <row r="27" spans="2:2" ht="30">
      <c r="B27" s="18" t="s">
        <v>220</v>
      </c>
    </row>
    <row r="29" spans="2:2">
      <c r="B29" s="19"/>
    </row>
    <row r="30" spans="2:2">
      <c r="B30" s="2"/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zoomScale="160" zoomScaleNormal="160" workbookViewId="0">
      <pane ySplit="3" topLeftCell="A4" activePane="bottomLeft" state="frozen"/>
      <selection pane="bottomLeft" activeCell="E8" sqref="E8"/>
    </sheetView>
  </sheetViews>
  <sheetFormatPr defaultColWidth="8.6640625" defaultRowHeight="14.4"/>
  <cols>
    <col min="1" max="1" width="6" customWidth="1"/>
    <col min="2" max="2" width="14" customWidth="1"/>
    <col min="3" max="3" width="24" customWidth="1"/>
    <col min="4" max="4" width="46" customWidth="1"/>
    <col min="5" max="5" width="16" customWidth="1"/>
    <col min="6" max="7" width="10" customWidth="1"/>
    <col min="8" max="8" width="12" customWidth="1"/>
    <col min="9" max="9" width="20" customWidth="1"/>
  </cols>
  <sheetData>
    <row r="1" spans="1:9" ht="25.5" customHeight="1">
      <c r="A1" s="39" t="s">
        <v>16</v>
      </c>
      <c r="B1" s="39"/>
      <c r="C1" s="39"/>
      <c r="D1" s="39"/>
      <c r="E1" s="39"/>
      <c r="F1" s="39"/>
      <c r="G1" s="39"/>
      <c r="H1" s="39"/>
      <c r="I1" s="39"/>
    </row>
    <row r="2" spans="1:9" ht="15.75" customHeight="1">
      <c r="A2" s="40" t="s">
        <v>17</v>
      </c>
      <c r="B2" s="40"/>
      <c r="C2" s="40"/>
      <c r="D2" s="40"/>
      <c r="E2" s="40"/>
      <c r="F2" s="40"/>
      <c r="G2" s="40"/>
      <c r="H2" s="40"/>
      <c r="I2" s="40"/>
    </row>
    <row r="3" spans="1:9" ht="19.5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s="7" customFormat="1" ht="19.5" customHeight="1">
      <c r="B4" s="21" t="s">
        <v>221</v>
      </c>
      <c r="C4" s="7" t="s">
        <v>222</v>
      </c>
      <c r="D4" s="22" t="s">
        <v>224</v>
      </c>
      <c r="E4" s="20" t="s">
        <v>223</v>
      </c>
    </row>
    <row r="5" spans="1:9" ht="31.2" customHeight="1">
      <c r="A5" s="5"/>
      <c r="B5" s="38" t="s">
        <v>27</v>
      </c>
      <c r="C5" s="24"/>
      <c r="D5" s="25"/>
      <c r="E5" s="7"/>
      <c r="F5" s="5"/>
      <c r="G5" s="5"/>
      <c r="H5" s="5"/>
      <c r="I5" s="7"/>
    </row>
    <row r="6" spans="1:9">
      <c r="A6" s="5"/>
      <c r="B6" s="38"/>
      <c r="C6" s="7" t="s">
        <v>231</v>
      </c>
      <c r="D6" s="20" t="s">
        <v>223</v>
      </c>
      <c r="E6" s="7"/>
      <c r="F6" s="5"/>
      <c r="G6" s="5"/>
      <c r="H6" s="5"/>
      <c r="I6" s="7"/>
    </row>
    <row r="7" spans="1:9" ht="30">
      <c r="A7" s="5"/>
      <c r="B7" s="38"/>
      <c r="C7" s="24" t="s">
        <v>228</v>
      </c>
      <c r="D7" s="25" t="s">
        <v>229</v>
      </c>
      <c r="E7" s="7"/>
      <c r="F7" s="5"/>
      <c r="G7" s="5"/>
      <c r="H7" s="5"/>
      <c r="I7" s="7"/>
    </row>
    <row r="8" spans="1:9">
      <c r="A8" s="5"/>
      <c r="B8" s="38"/>
      <c r="C8" s="7"/>
      <c r="D8" s="7"/>
      <c r="E8" s="7"/>
      <c r="F8" s="5"/>
      <c r="G8" s="5"/>
      <c r="H8" s="5"/>
      <c r="I8" s="7"/>
    </row>
    <row r="9" spans="1:9">
      <c r="A9" s="5"/>
      <c r="B9" s="38"/>
      <c r="C9" s="7"/>
      <c r="D9" s="7"/>
      <c r="E9" s="7"/>
      <c r="F9" s="5"/>
      <c r="G9" s="5"/>
      <c r="H9" s="5"/>
      <c r="I9" s="7"/>
    </row>
    <row r="10" spans="1:9">
      <c r="A10" s="5"/>
      <c r="B10" s="38"/>
      <c r="C10" s="6"/>
      <c r="D10" s="7"/>
      <c r="E10" s="7"/>
      <c r="F10" s="5"/>
      <c r="G10" s="5"/>
      <c r="H10" s="5"/>
      <c r="I10" s="7"/>
    </row>
    <row r="11" spans="1:9" ht="29.85" customHeight="1">
      <c r="A11" s="5"/>
      <c r="B11" s="38" t="s">
        <v>29</v>
      </c>
      <c r="C11" s="7" t="s">
        <v>30</v>
      </c>
      <c r="D11" s="7" t="s">
        <v>31</v>
      </c>
      <c r="E11" s="7"/>
      <c r="F11" s="5"/>
      <c r="G11" s="5"/>
      <c r="H11" s="5"/>
      <c r="I11" s="7"/>
    </row>
    <row r="12" spans="1:9">
      <c r="A12" s="5"/>
      <c r="B12" s="38"/>
      <c r="C12" s="25"/>
      <c r="D12" s="25"/>
      <c r="E12" s="7"/>
      <c r="F12" s="5"/>
      <c r="G12" s="5"/>
      <c r="H12" s="5"/>
      <c r="I12" s="7"/>
    </row>
    <row r="13" spans="1:9">
      <c r="A13" s="5"/>
      <c r="B13" s="38"/>
      <c r="C13" s="7" t="s">
        <v>32</v>
      </c>
      <c r="D13" s="7" t="s">
        <v>33</v>
      </c>
      <c r="E13" s="7"/>
      <c r="F13" s="5"/>
      <c r="G13" s="5"/>
      <c r="H13" s="5"/>
      <c r="I13" s="7"/>
    </row>
    <row r="14" spans="1:9">
      <c r="A14" s="5"/>
      <c r="B14" s="38"/>
      <c r="C14" s="7" t="s">
        <v>35</v>
      </c>
      <c r="D14" s="7" t="s">
        <v>36</v>
      </c>
      <c r="E14" s="7"/>
      <c r="F14" s="5"/>
      <c r="G14" s="5"/>
      <c r="H14" s="5"/>
      <c r="I14" s="7"/>
    </row>
    <row r="15" spans="1:9">
      <c r="A15" s="5"/>
      <c r="B15" s="38"/>
      <c r="C15" s="7" t="s">
        <v>37</v>
      </c>
      <c r="D15" s="7" t="s">
        <v>38</v>
      </c>
      <c r="E15" s="7"/>
      <c r="F15" s="5"/>
      <c r="G15" s="5"/>
      <c r="H15" s="5"/>
      <c r="I15" s="7"/>
    </row>
    <row r="16" spans="1:9">
      <c r="A16" s="5"/>
      <c r="B16" s="38"/>
      <c r="C16" s="7" t="s">
        <v>39</v>
      </c>
      <c r="D16" s="7" t="s">
        <v>40</v>
      </c>
      <c r="E16" s="7"/>
      <c r="F16" s="5"/>
      <c r="G16" s="5"/>
      <c r="H16" s="5"/>
      <c r="I16" s="7"/>
    </row>
    <row r="17" spans="1:9" ht="33" customHeight="1">
      <c r="A17" s="5"/>
      <c r="B17" s="23" t="s">
        <v>225</v>
      </c>
      <c r="C17" s="24" t="s">
        <v>226</v>
      </c>
      <c r="D17" s="24" t="s">
        <v>227</v>
      </c>
      <c r="E17" s="7"/>
      <c r="F17" s="5"/>
      <c r="G17" s="5"/>
      <c r="H17" s="5"/>
      <c r="I17" s="7"/>
    </row>
    <row r="18" spans="1:9" ht="29.85" customHeight="1">
      <c r="A18" s="5"/>
      <c r="B18" s="38" t="s">
        <v>43</v>
      </c>
      <c r="C18" s="6" t="s">
        <v>44</v>
      </c>
      <c r="D18" s="7" t="s">
        <v>45</v>
      </c>
      <c r="E18" s="7"/>
      <c r="F18" s="5"/>
      <c r="G18" s="5"/>
      <c r="H18" s="5"/>
      <c r="I18" s="7"/>
    </row>
    <row r="19" spans="1:9">
      <c r="A19" s="5"/>
      <c r="B19" s="38"/>
      <c r="C19" s="7" t="s">
        <v>46</v>
      </c>
      <c r="D19" s="7" t="s">
        <v>47</v>
      </c>
      <c r="E19" s="7"/>
      <c r="F19" s="5"/>
      <c r="G19" s="5"/>
      <c r="H19" s="5"/>
      <c r="I19" s="7"/>
    </row>
    <row r="20" spans="1:9">
      <c r="A20" s="5"/>
      <c r="B20" s="38"/>
      <c r="C20" s="7" t="s">
        <v>48</v>
      </c>
      <c r="D20" s="7" t="s">
        <v>49</v>
      </c>
      <c r="E20" s="7"/>
      <c r="F20" s="5"/>
      <c r="G20" s="5"/>
      <c r="H20" s="5"/>
      <c r="I20" s="7"/>
    </row>
    <row r="21" spans="1:9" ht="15" customHeight="1">
      <c r="A21" s="5"/>
      <c r="B21" s="38" t="s">
        <v>50</v>
      </c>
      <c r="C21" s="7" t="s">
        <v>51</v>
      </c>
      <c r="D21" s="7" t="s">
        <v>52</v>
      </c>
      <c r="E21" s="7"/>
      <c r="F21" s="5"/>
      <c r="G21" s="5"/>
      <c r="H21" s="5"/>
      <c r="I21" s="7"/>
    </row>
    <row r="22" spans="1:9">
      <c r="A22" s="5"/>
      <c r="B22" s="38"/>
      <c r="C22" s="7" t="s">
        <v>54</v>
      </c>
      <c r="D22" s="7" t="s">
        <v>55</v>
      </c>
      <c r="E22" s="7"/>
      <c r="F22" s="5"/>
      <c r="G22" s="5"/>
      <c r="H22" s="5"/>
      <c r="I22" s="7"/>
    </row>
    <row r="23" spans="1:9" ht="15" customHeight="1">
      <c r="A23" s="5"/>
      <c r="B23" s="38" t="s">
        <v>57</v>
      </c>
      <c r="C23" s="7" t="s">
        <v>58</v>
      </c>
      <c r="D23" s="7" t="s">
        <v>59</v>
      </c>
      <c r="E23" s="7"/>
      <c r="F23" s="5"/>
      <c r="G23" s="5"/>
      <c r="H23" s="5"/>
      <c r="I23" s="7"/>
    </row>
    <row r="24" spans="1:9">
      <c r="A24" s="5"/>
      <c r="B24" s="38"/>
      <c r="C24" s="7" t="s">
        <v>60</v>
      </c>
      <c r="D24" s="7" t="s">
        <v>61</v>
      </c>
      <c r="E24" s="7"/>
      <c r="F24" s="5"/>
      <c r="G24" s="5"/>
      <c r="H24" s="5"/>
      <c r="I24" s="7"/>
    </row>
    <row r="25" spans="1:9">
      <c r="A25" s="5"/>
      <c r="B25" s="38"/>
      <c r="C25" s="7" t="s">
        <v>62</v>
      </c>
      <c r="D25" s="7" t="s">
        <v>63</v>
      </c>
      <c r="E25" s="7"/>
      <c r="F25" s="5"/>
      <c r="G25" s="5"/>
      <c r="H25" s="5"/>
      <c r="I25" s="7"/>
    </row>
    <row r="26" spans="1:9" ht="15" customHeight="1">
      <c r="A26" s="5"/>
      <c r="B26" s="38" t="s">
        <v>64</v>
      </c>
      <c r="C26" s="7" t="s">
        <v>65</v>
      </c>
      <c r="D26" s="7" t="s">
        <v>66</v>
      </c>
      <c r="E26" s="7"/>
      <c r="F26" s="5"/>
      <c r="G26" s="5"/>
      <c r="H26" s="5"/>
      <c r="I26" s="7"/>
    </row>
    <row r="27" spans="1:9">
      <c r="A27" s="5"/>
      <c r="B27" s="38"/>
      <c r="C27" s="7" t="s">
        <v>67</v>
      </c>
      <c r="D27" s="7" t="s">
        <v>68</v>
      </c>
      <c r="E27" s="7"/>
      <c r="F27" s="5"/>
      <c r="G27" s="5"/>
      <c r="H27" s="5"/>
      <c r="I27" s="7"/>
    </row>
    <row r="28" spans="1:9" ht="15" customHeight="1">
      <c r="A28" s="37" t="s">
        <v>69</v>
      </c>
      <c r="B28" s="37"/>
      <c r="C28" s="37"/>
      <c r="D28" s="37"/>
      <c r="E28" s="37"/>
      <c r="F28" s="37"/>
      <c r="G28" s="37"/>
      <c r="H28" s="37"/>
      <c r="I28" s="37"/>
    </row>
  </sheetData>
  <mergeCells count="9">
    <mergeCell ref="A1:I1"/>
    <mergeCell ref="A2:I2"/>
    <mergeCell ref="B5:B10"/>
    <mergeCell ref="B11:B16"/>
    <mergeCell ref="A28:I28"/>
    <mergeCell ref="B18:B20"/>
    <mergeCell ref="B21:B22"/>
    <mergeCell ref="B23:B25"/>
    <mergeCell ref="B26:B27"/>
  </mergeCells>
  <phoneticPr fontId="13" type="noConversion"/>
  <dataValidations count="1">
    <dataValidation type="list" allowBlank="1" errorTitle="无效输入" error="请从下拉列表选择：通过 / 不通过 / 不适用" sqref="F5:F27" xr:uid="{00000000-0002-0000-0100-000000000000}">
      <formula1>"通过,不通过,不适用"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27D7-8807-404D-8C5F-88F19BC4E811}">
  <dimension ref="A1:L27"/>
  <sheetViews>
    <sheetView tabSelected="1" topLeftCell="A16" workbookViewId="0">
      <selection activeCell="G21" sqref="G21"/>
    </sheetView>
  </sheetViews>
  <sheetFormatPr defaultRowHeight="14.4"/>
  <cols>
    <col min="1" max="1" width="5" customWidth="1"/>
    <col min="2" max="2" width="17" customWidth="1"/>
    <col min="3" max="3" width="7" customWidth="1"/>
    <col min="4" max="4" width="20" customWidth="1"/>
    <col min="5" max="5" width="44" customWidth="1"/>
    <col min="6" max="6" width="30" style="51" customWidth="1"/>
    <col min="7" max="7" width="16" customWidth="1"/>
    <col min="8" max="8" width="18" customWidth="1"/>
    <col min="9" max="9" width="10" customWidth="1"/>
    <col min="10" max="10" width="8" customWidth="1"/>
    <col min="11" max="11" width="10" customWidth="1"/>
    <col min="12" max="12" width="20" customWidth="1"/>
  </cols>
  <sheetData>
    <row r="1" spans="1:12" ht="25.95" customHeight="1">
      <c r="A1" s="35" t="s">
        <v>305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6.05" customHeight="1">
      <c r="A2" s="36" t="s">
        <v>277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30" customHeight="1">
      <c r="A3" s="28" t="s">
        <v>18</v>
      </c>
      <c r="B3" s="28" t="s">
        <v>232</v>
      </c>
      <c r="C3" s="28" t="s">
        <v>278</v>
      </c>
      <c r="D3" s="28" t="s">
        <v>20</v>
      </c>
      <c r="E3" s="28" t="s">
        <v>233</v>
      </c>
      <c r="F3" s="28" t="s">
        <v>234</v>
      </c>
      <c r="G3" s="28" t="s">
        <v>279</v>
      </c>
      <c r="H3" s="28" t="s">
        <v>235</v>
      </c>
      <c r="I3" s="28" t="s">
        <v>23</v>
      </c>
      <c r="J3" s="28" t="s">
        <v>24</v>
      </c>
      <c r="K3" s="28" t="s">
        <v>25</v>
      </c>
      <c r="L3" s="28" t="s">
        <v>26</v>
      </c>
    </row>
    <row r="4" spans="1:12" ht="24">
      <c r="A4" s="26">
        <v>1</v>
      </c>
      <c r="B4" s="31" t="s">
        <v>280</v>
      </c>
      <c r="C4" s="29" t="s">
        <v>281</v>
      </c>
      <c r="D4" s="27" t="s">
        <v>264</v>
      </c>
      <c r="E4" s="27" t="s">
        <v>265</v>
      </c>
      <c r="F4" s="50" t="s">
        <v>266</v>
      </c>
      <c r="G4" s="27"/>
      <c r="H4" s="27" t="s">
        <v>267</v>
      </c>
      <c r="I4" s="26"/>
      <c r="J4" s="26"/>
      <c r="K4" s="26"/>
      <c r="L4" s="27"/>
    </row>
    <row r="5" spans="1:12" ht="24">
      <c r="A5" s="26"/>
      <c r="B5" s="43"/>
      <c r="C5" s="29" t="s">
        <v>281</v>
      </c>
      <c r="D5" s="27" t="s">
        <v>282</v>
      </c>
      <c r="E5" s="27" t="s">
        <v>268</v>
      </c>
      <c r="F5" s="50" t="s">
        <v>269</v>
      </c>
      <c r="G5" s="27"/>
      <c r="H5" s="27" t="s">
        <v>270</v>
      </c>
      <c r="I5" s="26"/>
      <c r="J5" s="26"/>
      <c r="K5" s="26"/>
      <c r="L5" s="27"/>
    </row>
    <row r="6" spans="1:12">
      <c r="A6" s="26"/>
      <c r="B6" s="43"/>
      <c r="C6" s="29" t="s">
        <v>281</v>
      </c>
      <c r="D6" s="44" t="s">
        <v>319</v>
      </c>
      <c r="E6" s="44" t="s">
        <v>320</v>
      </c>
      <c r="F6" s="54" t="s">
        <v>321</v>
      </c>
      <c r="G6" s="27"/>
      <c r="H6" s="27"/>
      <c r="I6" s="26"/>
      <c r="J6" s="26"/>
      <c r="K6" s="26"/>
      <c r="L6" s="27"/>
    </row>
    <row r="7" spans="1:12" s="47" customFormat="1" ht="15.6">
      <c r="A7" s="45">
        <v>2</v>
      </c>
      <c r="B7" s="32"/>
      <c r="C7" s="29" t="s">
        <v>281</v>
      </c>
      <c r="D7" s="46" t="s">
        <v>306</v>
      </c>
      <c r="E7" s="46" t="s">
        <v>307</v>
      </c>
      <c r="F7" s="52" t="s">
        <v>308</v>
      </c>
      <c r="G7" s="46"/>
      <c r="H7" s="46"/>
      <c r="I7" s="45"/>
      <c r="J7" s="45"/>
      <c r="K7" s="45"/>
      <c r="L7" s="46"/>
    </row>
    <row r="8" spans="1:12" ht="24" customHeight="1">
      <c r="A8" s="26">
        <v>12</v>
      </c>
      <c r="B8" s="53" t="s">
        <v>316</v>
      </c>
      <c r="C8" s="49" t="s">
        <v>310</v>
      </c>
      <c r="D8" s="27" t="s">
        <v>311</v>
      </c>
      <c r="E8" s="48" t="s">
        <v>312</v>
      </c>
      <c r="F8" s="50" t="s">
        <v>312</v>
      </c>
      <c r="G8" s="27"/>
      <c r="H8" s="27"/>
      <c r="I8" s="26"/>
      <c r="J8" s="26"/>
      <c r="K8" s="26"/>
      <c r="L8" s="27"/>
    </row>
    <row r="9" spans="1:12" ht="24" customHeight="1">
      <c r="A9" s="26"/>
      <c r="B9" s="43"/>
      <c r="C9" s="49" t="s">
        <v>310</v>
      </c>
      <c r="D9" s="46" t="s">
        <v>317</v>
      </c>
      <c r="E9" s="48" t="s">
        <v>313</v>
      </c>
      <c r="F9" s="50"/>
      <c r="G9" s="27"/>
      <c r="H9" s="27"/>
      <c r="I9" s="26"/>
      <c r="J9" s="26"/>
      <c r="K9" s="26"/>
      <c r="L9" s="27"/>
    </row>
    <row r="10" spans="1:12" ht="54.6" customHeight="1">
      <c r="A10" s="26">
        <v>13</v>
      </c>
      <c r="B10" s="32"/>
      <c r="C10" s="29" t="s">
        <v>281</v>
      </c>
      <c r="D10" s="27" t="s">
        <v>283</v>
      </c>
      <c r="E10" s="48" t="s">
        <v>309</v>
      </c>
      <c r="F10" s="50" t="s">
        <v>312</v>
      </c>
      <c r="G10" s="27" t="s">
        <v>237</v>
      </c>
      <c r="H10" s="27"/>
      <c r="I10" s="26"/>
      <c r="J10" s="26"/>
      <c r="K10" s="26"/>
      <c r="L10" s="27"/>
    </row>
    <row r="11" spans="1:12" s="51" customFormat="1" ht="74.400000000000006" customHeight="1">
      <c r="A11" s="26"/>
      <c r="B11" s="32"/>
      <c r="C11" s="29" t="s">
        <v>281</v>
      </c>
      <c r="D11" s="27" t="s">
        <v>239</v>
      </c>
      <c r="E11" s="48" t="s">
        <v>315</v>
      </c>
      <c r="F11" s="50" t="s">
        <v>312</v>
      </c>
      <c r="G11" s="50"/>
      <c r="H11" s="50"/>
      <c r="I11" s="26"/>
      <c r="J11" s="26"/>
      <c r="K11" s="26"/>
      <c r="L11" s="50"/>
    </row>
    <row r="12" spans="1:12" s="51" customFormat="1" ht="22.2" customHeight="1">
      <c r="A12" s="26"/>
      <c r="B12" s="32"/>
      <c r="C12" s="29" t="s">
        <v>281</v>
      </c>
      <c r="D12" s="27" t="s">
        <v>314</v>
      </c>
      <c r="E12" s="50" t="s">
        <v>312</v>
      </c>
      <c r="F12" s="50" t="s">
        <v>312</v>
      </c>
      <c r="G12" s="27"/>
      <c r="H12" s="27"/>
      <c r="I12" s="26"/>
      <c r="J12" s="26"/>
      <c r="K12" s="26"/>
      <c r="L12" s="50"/>
    </row>
    <row r="13" spans="1:12" ht="31.8" customHeight="1">
      <c r="A13" s="26">
        <v>14</v>
      </c>
      <c r="B13" s="32"/>
      <c r="C13" s="29" t="s">
        <v>281</v>
      </c>
      <c r="D13" s="27" t="s">
        <v>288</v>
      </c>
      <c r="E13" s="27" t="s">
        <v>289</v>
      </c>
      <c r="F13" s="50" t="s">
        <v>258</v>
      </c>
      <c r="G13" s="27" t="s">
        <v>241</v>
      </c>
      <c r="H13" s="27" t="s">
        <v>241</v>
      </c>
      <c r="I13" s="26"/>
      <c r="J13" s="26"/>
      <c r="K13" s="26"/>
      <c r="L13" s="27"/>
    </row>
    <row r="14" spans="1:12" ht="48">
      <c r="A14" s="26">
        <v>18</v>
      </c>
      <c r="B14" s="53" t="s">
        <v>328</v>
      </c>
      <c r="C14" s="29" t="s">
        <v>281</v>
      </c>
      <c r="D14" s="27" t="s">
        <v>231</v>
      </c>
      <c r="E14" s="27" t="s">
        <v>284</v>
      </c>
      <c r="F14" s="50" t="s">
        <v>242</v>
      </c>
      <c r="G14" s="27" t="s">
        <v>243</v>
      </c>
      <c r="H14" s="27" t="s">
        <v>285</v>
      </c>
      <c r="I14" s="26"/>
      <c r="J14" s="26"/>
      <c r="K14" s="26"/>
      <c r="L14" s="27"/>
    </row>
    <row r="15" spans="1:12" ht="36">
      <c r="A15" s="26">
        <v>19</v>
      </c>
      <c r="B15" s="32"/>
      <c r="C15" s="29" t="s">
        <v>281</v>
      </c>
      <c r="D15" s="27" t="s">
        <v>244</v>
      </c>
      <c r="E15" s="27" t="s">
        <v>286</v>
      </c>
      <c r="F15" s="50" t="s">
        <v>245</v>
      </c>
      <c r="G15" s="27" t="s">
        <v>246</v>
      </c>
      <c r="H15" s="27" t="s">
        <v>247</v>
      </c>
      <c r="I15" s="26"/>
      <c r="J15" s="26"/>
      <c r="K15" s="26"/>
      <c r="L15" s="27"/>
    </row>
    <row r="16" spans="1:12" ht="24">
      <c r="A16" s="26"/>
      <c r="B16" s="32"/>
      <c r="C16" s="29" t="s">
        <v>281</v>
      </c>
      <c r="D16" s="27" t="s">
        <v>248</v>
      </c>
      <c r="E16" s="27" t="s">
        <v>287</v>
      </c>
      <c r="F16" s="50" t="s">
        <v>249</v>
      </c>
      <c r="G16" s="27" t="s">
        <v>243</v>
      </c>
      <c r="H16" s="27" t="s">
        <v>250</v>
      </c>
      <c r="I16" s="26"/>
      <c r="J16" s="26"/>
      <c r="K16" s="26"/>
      <c r="L16" s="27"/>
    </row>
    <row r="17" spans="1:12" ht="55.2">
      <c r="A17" s="26"/>
      <c r="B17" s="32"/>
      <c r="C17" s="29" t="s">
        <v>281</v>
      </c>
      <c r="D17" s="46" t="s">
        <v>329</v>
      </c>
      <c r="E17" s="27" t="s">
        <v>330</v>
      </c>
      <c r="F17" s="52" t="s">
        <v>331</v>
      </c>
      <c r="G17" s="27"/>
      <c r="H17" s="27"/>
      <c r="I17" s="26"/>
      <c r="J17" s="26"/>
      <c r="K17" s="26"/>
      <c r="L17" s="27"/>
    </row>
    <row r="18" spans="1:12" ht="60" customHeight="1">
      <c r="A18" s="26">
        <v>20</v>
      </c>
      <c r="B18" s="32"/>
      <c r="C18" s="29" t="s">
        <v>281</v>
      </c>
      <c r="D18" s="46" t="s">
        <v>332</v>
      </c>
      <c r="E18" s="27" t="s">
        <v>333</v>
      </c>
      <c r="F18" s="52" t="s">
        <v>334</v>
      </c>
      <c r="G18" s="27"/>
      <c r="H18" s="27"/>
      <c r="I18" s="26"/>
      <c r="J18" s="26"/>
      <c r="K18" s="26"/>
      <c r="L18" s="27"/>
    </row>
    <row r="19" spans="1:12" ht="24">
      <c r="A19" s="26">
        <v>24</v>
      </c>
      <c r="B19" s="55" t="s">
        <v>322</v>
      </c>
      <c r="C19" s="29" t="s">
        <v>281</v>
      </c>
      <c r="D19" s="46" t="s">
        <v>318</v>
      </c>
      <c r="E19" s="27" t="s">
        <v>254</v>
      </c>
      <c r="F19" s="50" t="s">
        <v>255</v>
      </c>
      <c r="G19" s="27" t="s">
        <v>256</v>
      </c>
      <c r="H19" s="27" t="s">
        <v>257</v>
      </c>
      <c r="I19" s="26"/>
      <c r="J19" s="26"/>
      <c r="K19" s="26"/>
      <c r="L19" s="27"/>
    </row>
    <row r="20" spans="1:12" ht="24">
      <c r="A20" s="26">
        <v>28</v>
      </c>
      <c r="B20" s="33"/>
      <c r="C20" s="29" t="s">
        <v>281</v>
      </c>
      <c r="D20" s="27" t="s">
        <v>290</v>
      </c>
      <c r="E20" s="27" t="s">
        <v>291</v>
      </c>
      <c r="F20" s="50" t="s">
        <v>260</v>
      </c>
      <c r="G20" s="27" t="s">
        <v>261</v>
      </c>
      <c r="H20" s="27" t="s">
        <v>241</v>
      </c>
      <c r="I20" s="26"/>
      <c r="J20" s="26"/>
      <c r="K20" s="26"/>
      <c r="L20" s="27"/>
    </row>
    <row r="21" spans="1:12" ht="96">
      <c r="A21" s="26">
        <v>30</v>
      </c>
      <c r="B21" s="53" t="s">
        <v>323</v>
      </c>
      <c r="C21" s="29" t="s">
        <v>281</v>
      </c>
      <c r="D21" s="27" t="s">
        <v>236</v>
      </c>
      <c r="E21" s="27" t="s">
        <v>292</v>
      </c>
      <c r="F21" s="50" t="s">
        <v>324</v>
      </c>
      <c r="G21" s="27" t="s">
        <v>237</v>
      </c>
      <c r="H21" s="27" t="s">
        <v>238</v>
      </c>
      <c r="I21" s="26"/>
      <c r="J21" s="26"/>
      <c r="K21" s="26"/>
      <c r="L21" s="27"/>
    </row>
    <row r="22" spans="1:12" ht="24">
      <c r="A22" s="26">
        <v>31</v>
      </c>
      <c r="B22" s="32"/>
      <c r="C22" s="29" t="s">
        <v>281</v>
      </c>
      <c r="D22" s="27" t="s">
        <v>240</v>
      </c>
      <c r="E22" s="27" t="s">
        <v>293</v>
      </c>
      <c r="F22" s="50" t="s">
        <v>294</v>
      </c>
      <c r="G22" s="27"/>
      <c r="H22" s="27" t="s">
        <v>241</v>
      </c>
      <c r="I22" s="26"/>
      <c r="J22" s="26"/>
      <c r="K22" s="26"/>
      <c r="L22" s="27"/>
    </row>
    <row r="23" spans="1:12" ht="24">
      <c r="A23" s="30">
        <v>33</v>
      </c>
      <c r="B23" s="56" t="s">
        <v>325</v>
      </c>
      <c r="C23" s="57" t="s">
        <v>281</v>
      </c>
      <c r="D23" s="58" t="s">
        <v>251</v>
      </c>
      <c r="E23" s="58" t="s">
        <v>295</v>
      </c>
      <c r="F23" s="59" t="s">
        <v>252</v>
      </c>
      <c r="G23" s="58" t="s">
        <v>253</v>
      </c>
      <c r="H23" s="58" t="s">
        <v>296</v>
      </c>
      <c r="I23" s="60"/>
      <c r="J23" s="60"/>
      <c r="K23" s="60"/>
      <c r="L23" s="58"/>
    </row>
    <row r="24" spans="1:12" ht="24">
      <c r="A24" s="30">
        <v>36</v>
      </c>
      <c r="B24" s="61"/>
      <c r="C24" s="57" t="s">
        <v>281</v>
      </c>
      <c r="D24" s="58" t="s">
        <v>262</v>
      </c>
      <c r="E24" s="58" t="s">
        <v>297</v>
      </c>
      <c r="F24" s="59" t="s">
        <v>263</v>
      </c>
      <c r="G24" s="58" t="s">
        <v>241</v>
      </c>
      <c r="H24" s="58" t="s">
        <v>241</v>
      </c>
      <c r="I24" s="60"/>
      <c r="J24" s="60"/>
      <c r="K24" s="60"/>
      <c r="L24" s="58"/>
    </row>
    <row r="25" spans="1:12" ht="24">
      <c r="A25" s="26">
        <v>67</v>
      </c>
      <c r="B25" s="31" t="s">
        <v>298</v>
      </c>
      <c r="C25" s="29" t="s">
        <v>281</v>
      </c>
      <c r="D25" s="46" t="s">
        <v>326</v>
      </c>
      <c r="E25" s="27" t="s">
        <v>299</v>
      </c>
      <c r="F25" s="50" t="s">
        <v>271</v>
      </c>
      <c r="G25" s="27" t="s">
        <v>259</v>
      </c>
      <c r="H25" s="27" t="s">
        <v>272</v>
      </c>
      <c r="I25" s="26"/>
      <c r="J25" s="26"/>
      <c r="K25" s="26"/>
      <c r="L25" s="27"/>
    </row>
    <row r="26" spans="1:12" ht="36">
      <c r="A26" s="26">
        <v>68</v>
      </c>
      <c r="B26" s="32"/>
      <c r="C26" s="29" t="s">
        <v>281</v>
      </c>
      <c r="D26" s="27" t="s">
        <v>273</v>
      </c>
      <c r="E26" s="27" t="s">
        <v>300</v>
      </c>
      <c r="F26" s="50" t="s">
        <v>274</v>
      </c>
      <c r="G26" s="27" t="s">
        <v>275</v>
      </c>
      <c r="H26" s="27" t="s">
        <v>276</v>
      </c>
      <c r="I26" s="26"/>
      <c r="J26" s="26"/>
      <c r="K26" s="26"/>
      <c r="L26" s="27"/>
    </row>
    <row r="27" spans="1:12" s="63" customFormat="1" ht="27.6">
      <c r="A27" s="26">
        <v>69</v>
      </c>
      <c r="B27" s="32"/>
      <c r="C27" s="62" t="s">
        <v>310</v>
      </c>
      <c r="D27" s="27" t="s">
        <v>301</v>
      </c>
      <c r="E27" s="48" t="s">
        <v>327</v>
      </c>
      <c r="F27" s="50" t="s">
        <v>302</v>
      </c>
      <c r="G27" s="27" t="s">
        <v>303</v>
      </c>
      <c r="H27" s="27" t="s">
        <v>304</v>
      </c>
      <c r="I27" s="26"/>
      <c r="J27" s="26"/>
      <c r="K27" s="26"/>
      <c r="L27" s="27"/>
    </row>
  </sheetData>
  <mergeCells count="9">
    <mergeCell ref="B19:B20"/>
    <mergeCell ref="B21:B22"/>
    <mergeCell ref="B23:B24"/>
    <mergeCell ref="A1:L1"/>
    <mergeCell ref="A2:L2"/>
    <mergeCell ref="B4:B7"/>
    <mergeCell ref="B8:B13"/>
    <mergeCell ref="B14:B18"/>
    <mergeCell ref="B25:B27"/>
  </mergeCells>
  <phoneticPr fontId="13" type="noConversion"/>
  <dataValidations count="1">
    <dataValidation type="list" allowBlank="1" errorTitle="无效输入" error="请从下拉列表选择：通过 / 不通过 / 不适用" sqref="I4:I27" xr:uid="{7B0F14F8-0EDF-4DC2-8048-0A3299C8CBE9}">
      <formula1>"通过,不通过,不适用"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showGridLines="0" zoomScaleNormal="100" workbookViewId="0">
      <pane ySplit="3" topLeftCell="A37" activePane="bottomLeft" state="frozen"/>
      <selection pane="bottomLeft" sqref="A1:I1"/>
    </sheetView>
  </sheetViews>
  <sheetFormatPr defaultColWidth="8.6640625" defaultRowHeight="14.4"/>
  <cols>
    <col min="1" max="1" width="6" customWidth="1"/>
    <col min="2" max="2" width="14" customWidth="1"/>
    <col min="3" max="3" width="24" customWidth="1"/>
    <col min="4" max="4" width="46" customWidth="1"/>
    <col min="5" max="5" width="16" customWidth="1"/>
    <col min="6" max="7" width="10" customWidth="1"/>
    <col min="8" max="8" width="12" customWidth="1"/>
    <col min="9" max="9" width="20" customWidth="1"/>
  </cols>
  <sheetData>
    <row r="1" spans="1:9" ht="25.5" customHeight="1">
      <c r="A1" s="39" t="s">
        <v>70</v>
      </c>
      <c r="B1" s="39"/>
      <c r="C1" s="39"/>
      <c r="D1" s="39"/>
      <c r="E1" s="39"/>
      <c r="F1" s="39"/>
      <c r="G1" s="39"/>
      <c r="H1" s="39"/>
      <c r="I1" s="39"/>
    </row>
    <row r="2" spans="1:9" ht="15.75" customHeight="1">
      <c r="A2" s="40" t="s">
        <v>71</v>
      </c>
      <c r="B2" s="40"/>
      <c r="C2" s="40"/>
      <c r="D2" s="40"/>
      <c r="E2" s="40"/>
      <c r="F2" s="40"/>
      <c r="G2" s="40"/>
      <c r="H2" s="40"/>
      <c r="I2" s="40"/>
    </row>
    <row r="3" spans="1:9" ht="19.5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ht="15" customHeight="1">
      <c r="A4" s="5">
        <v>1</v>
      </c>
      <c r="B4" s="38" t="s">
        <v>72</v>
      </c>
      <c r="C4" s="7" t="s">
        <v>73</v>
      </c>
      <c r="D4" s="7" t="s">
        <v>74</v>
      </c>
      <c r="E4" s="7" t="s">
        <v>75</v>
      </c>
      <c r="F4" s="5"/>
      <c r="G4" s="5"/>
      <c r="H4" s="5"/>
      <c r="I4" s="7"/>
    </row>
    <row r="5" spans="1:9" ht="26.4">
      <c r="A5" s="5">
        <v>2</v>
      </c>
      <c r="B5" s="38"/>
      <c r="C5" s="7" t="s">
        <v>76</v>
      </c>
      <c r="D5" s="7" t="s">
        <v>77</v>
      </c>
      <c r="E5" s="7" t="s">
        <v>75</v>
      </c>
      <c r="F5" s="5"/>
      <c r="G5" s="5"/>
      <c r="H5" s="5"/>
      <c r="I5" s="7"/>
    </row>
    <row r="6" spans="1:9" ht="26.4">
      <c r="A6" s="5">
        <v>3</v>
      </c>
      <c r="B6" s="38"/>
      <c r="C6" s="7" t="s">
        <v>78</v>
      </c>
      <c r="D6" s="7" t="s">
        <v>79</v>
      </c>
      <c r="E6" s="7" t="s">
        <v>80</v>
      </c>
      <c r="F6" s="5"/>
      <c r="G6" s="5"/>
      <c r="H6" s="5"/>
      <c r="I6" s="7"/>
    </row>
    <row r="7" spans="1:9" ht="26.4">
      <c r="A7" s="5">
        <v>4</v>
      </c>
      <c r="B7" s="38"/>
      <c r="C7" s="7" t="s">
        <v>81</v>
      </c>
      <c r="D7" s="7" t="s">
        <v>82</v>
      </c>
      <c r="E7" s="7" t="s">
        <v>83</v>
      </c>
      <c r="F7" s="5"/>
      <c r="G7" s="5"/>
      <c r="H7" s="5"/>
      <c r="I7" s="7"/>
    </row>
    <row r="8" spans="1:9" ht="15" customHeight="1">
      <c r="A8" s="5">
        <v>5</v>
      </c>
      <c r="B8" s="38" t="s">
        <v>84</v>
      </c>
      <c r="C8" s="6" t="s">
        <v>85</v>
      </c>
      <c r="D8" s="7" t="s">
        <v>86</v>
      </c>
      <c r="E8" s="7" t="s">
        <v>42</v>
      </c>
      <c r="F8" s="5"/>
      <c r="G8" s="5"/>
      <c r="H8" s="5"/>
      <c r="I8" s="7"/>
    </row>
    <row r="9" spans="1:9">
      <c r="A9" s="5">
        <v>6</v>
      </c>
      <c r="B9" s="38"/>
      <c r="C9" s="6" t="s">
        <v>87</v>
      </c>
      <c r="D9" s="7" t="s">
        <v>88</v>
      </c>
      <c r="E9" s="7" t="s">
        <v>42</v>
      </c>
      <c r="F9" s="5"/>
      <c r="G9" s="5"/>
      <c r="H9" s="5"/>
      <c r="I9" s="7"/>
    </row>
    <row r="10" spans="1:9">
      <c r="A10" s="5">
        <v>7</v>
      </c>
      <c r="B10" s="38"/>
      <c r="C10" s="7" t="s">
        <v>89</v>
      </c>
      <c r="D10" s="7" t="s">
        <v>90</v>
      </c>
      <c r="E10" s="7" t="s">
        <v>42</v>
      </c>
      <c r="F10" s="5"/>
      <c r="G10" s="5"/>
      <c r="H10" s="5"/>
      <c r="I10" s="7"/>
    </row>
    <row r="11" spans="1:9">
      <c r="A11" s="5">
        <v>8</v>
      </c>
      <c r="B11" s="38"/>
      <c r="C11" s="7" t="s">
        <v>91</v>
      </c>
      <c r="D11" s="7" t="s">
        <v>92</v>
      </c>
      <c r="E11" s="7" t="s">
        <v>42</v>
      </c>
      <c r="F11" s="5"/>
      <c r="G11" s="5"/>
      <c r="H11" s="5"/>
      <c r="I11" s="7"/>
    </row>
    <row r="12" spans="1:9">
      <c r="A12" s="5">
        <v>9</v>
      </c>
      <c r="B12" s="38"/>
      <c r="C12" s="7" t="s">
        <v>93</v>
      </c>
      <c r="D12" s="7" t="s">
        <v>94</v>
      </c>
      <c r="E12" s="7" t="s">
        <v>42</v>
      </c>
      <c r="F12" s="5"/>
      <c r="G12" s="5"/>
      <c r="H12" s="5"/>
      <c r="I12" s="7"/>
    </row>
    <row r="13" spans="1:9">
      <c r="A13" s="5">
        <v>10</v>
      </c>
      <c r="B13" s="38"/>
      <c r="C13" s="7" t="s">
        <v>95</v>
      </c>
      <c r="D13" s="7" t="s">
        <v>96</v>
      </c>
      <c r="E13" s="7" t="s">
        <v>42</v>
      </c>
      <c r="F13" s="5"/>
      <c r="G13" s="5"/>
      <c r="H13" s="5"/>
      <c r="I13" s="7"/>
    </row>
    <row r="14" spans="1:9" ht="26.4">
      <c r="A14" s="5">
        <v>11</v>
      </c>
      <c r="B14" s="38"/>
      <c r="C14" s="6" t="s">
        <v>97</v>
      </c>
      <c r="D14" s="7" t="s">
        <v>98</v>
      </c>
      <c r="E14" s="7" t="s">
        <v>99</v>
      </c>
      <c r="F14" s="5"/>
      <c r="G14" s="5"/>
      <c r="H14" s="5"/>
      <c r="I14" s="7"/>
    </row>
    <row r="15" spans="1:9" ht="15" customHeight="1">
      <c r="A15" s="5">
        <v>12</v>
      </c>
      <c r="B15" s="38" t="s">
        <v>100</v>
      </c>
      <c r="C15" s="7" t="s">
        <v>101</v>
      </c>
      <c r="D15" s="7" t="s">
        <v>102</v>
      </c>
      <c r="E15" s="7" t="s">
        <v>28</v>
      </c>
      <c r="F15" s="5"/>
      <c r="G15" s="5"/>
      <c r="H15" s="5"/>
      <c r="I15" s="7"/>
    </row>
    <row r="16" spans="1:9" ht="26.4">
      <c r="A16" s="5">
        <v>13</v>
      </c>
      <c r="B16" s="38"/>
      <c r="C16" s="7" t="s">
        <v>103</v>
      </c>
      <c r="D16" s="7" t="s">
        <v>104</v>
      </c>
      <c r="E16" s="7" t="s">
        <v>28</v>
      </c>
      <c r="F16" s="5"/>
      <c r="G16" s="5"/>
      <c r="H16" s="5"/>
      <c r="I16" s="7"/>
    </row>
    <row r="17" spans="1:9">
      <c r="A17" s="5">
        <v>14</v>
      </c>
      <c r="B17" s="38"/>
      <c r="C17" s="7" t="s">
        <v>105</v>
      </c>
      <c r="D17" s="7" t="s">
        <v>106</v>
      </c>
      <c r="E17" s="7" t="s">
        <v>28</v>
      </c>
      <c r="F17" s="5"/>
      <c r="G17" s="5"/>
      <c r="H17" s="5"/>
      <c r="I17" s="7"/>
    </row>
    <row r="18" spans="1:9" ht="15" customHeight="1">
      <c r="A18" s="5">
        <v>15</v>
      </c>
      <c r="B18" s="38" t="s">
        <v>107</v>
      </c>
      <c r="C18" s="7" t="s">
        <v>108</v>
      </c>
      <c r="D18" s="7" t="s">
        <v>109</v>
      </c>
      <c r="E18" s="7" t="s">
        <v>34</v>
      </c>
      <c r="F18" s="5"/>
      <c r="G18" s="5"/>
      <c r="H18" s="5"/>
      <c r="I18" s="7"/>
    </row>
    <row r="19" spans="1:9">
      <c r="A19" s="5">
        <v>16</v>
      </c>
      <c r="B19" s="38"/>
      <c r="C19" s="7" t="s">
        <v>110</v>
      </c>
      <c r="D19" s="7" t="s">
        <v>111</v>
      </c>
      <c r="E19" s="7" t="s">
        <v>34</v>
      </c>
      <c r="F19" s="5"/>
      <c r="G19" s="5"/>
      <c r="H19" s="5"/>
      <c r="I19" s="7"/>
    </row>
    <row r="20" spans="1:9">
      <c r="A20" s="5">
        <v>17</v>
      </c>
      <c r="B20" s="38"/>
      <c r="C20" s="7" t="s">
        <v>112</v>
      </c>
      <c r="D20" s="7" t="s">
        <v>113</v>
      </c>
      <c r="E20" s="7" t="s">
        <v>34</v>
      </c>
      <c r="F20" s="5"/>
      <c r="G20" s="5"/>
      <c r="H20" s="5"/>
      <c r="I20" s="7"/>
    </row>
    <row r="21" spans="1:9">
      <c r="A21" s="5">
        <v>18</v>
      </c>
      <c r="B21" s="38"/>
      <c r="C21" s="7" t="s">
        <v>114</v>
      </c>
      <c r="D21" s="7" t="s">
        <v>115</v>
      </c>
      <c r="E21" s="7" t="s">
        <v>34</v>
      </c>
      <c r="F21" s="5"/>
      <c r="G21" s="5"/>
      <c r="H21" s="5"/>
      <c r="I21" s="7"/>
    </row>
    <row r="22" spans="1:9" ht="15" customHeight="1">
      <c r="A22" s="5">
        <v>19</v>
      </c>
      <c r="B22" s="38" t="s">
        <v>116</v>
      </c>
      <c r="C22" s="7" t="s">
        <v>117</v>
      </c>
      <c r="D22" s="7" t="s">
        <v>118</v>
      </c>
      <c r="E22" s="7" t="s">
        <v>41</v>
      </c>
      <c r="F22" s="5"/>
      <c r="G22" s="5"/>
      <c r="H22" s="5"/>
      <c r="I22" s="7"/>
    </row>
    <row r="23" spans="1:9" ht="26.4">
      <c r="A23" s="5">
        <v>20</v>
      </c>
      <c r="B23" s="38"/>
      <c r="C23" s="7" t="s">
        <v>119</v>
      </c>
      <c r="D23" s="7" t="s">
        <v>120</v>
      </c>
      <c r="E23" s="7" t="s">
        <v>41</v>
      </c>
      <c r="F23" s="5"/>
      <c r="G23" s="5"/>
      <c r="H23" s="5"/>
      <c r="I23" s="7"/>
    </row>
    <row r="24" spans="1:9">
      <c r="A24" s="5">
        <v>21</v>
      </c>
      <c r="B24" s="38"/>
      <c r="C24" s="7" t="s">
        <v>121</v>
      </c>
      <c r="D24" s="7" t="s">
        <v>122</v>
      </c>
      <c r="E24" s="7" t="s">
        <v>41</v>
      </c>
      <c r="F24" s="5"/>
      <c r="G24" s="5"/>
      <c r="H24" s="5"/>
      <c r="I24" s="7"/>
    </row>
    <row r="25" spans="1:9" ht="15" customHeight="1">
      <c r="A25" s="5">
        <v>22</v>
      </c>
      <c r="B25" s="38" t="s">
        <v>123</v>
      </c>
      <c r="C25" s="7" t="s">
        <v>124</v>
      </c>
      <c r="D25" s="7" t="s">
        <v>125</v>
      </c>
      <c r="E25" s="7" t="s">
        <v>53</v>
      </c>
      <c r="F25" s="5"/>
      <c r="G25" s="5"/>
      <c r="H25" s="5"/>
      <c r="I25" s="7"/>
    </row>
    <row r="26" spans="1:9">
      <c r="A26" s="5">
        <v>23</v>
      </c>
      <c r="B26" s="38"/>
      <c r="C26" s="7" t="s">
        <v>126</v>
      </c>
      <c r="D26" s="7" t="s">
        <v>127</v>
      </c>
      <c r="E26" s="7" t="s">
        <v>53</v>
      </c>
      <c r="F26" s="5"/>
      <c r="G26" s="5"/>
      <c r="H26" s="5"/>
      <c r="I26" s="7"/>
    </row>
    <row r="27" spans="1:9" ht="15" customHeight="1">
      <c r="A27" s="5">
        <v>24</v>
      </c>
      <c r="B27" s="38" t="s">
        <v>128</v>
      </c>
      <c r="C27" s="7" t="s">
        <v>129</v>
      </c>
      <c r="D27" s="7" t="s">
        <v>130</v>
      </c>
      <c r="E27" s="7" t="s">
        <v>131</v>
      </c>
      <c r="F27" s="5"/>
      <c r="G27" s="5"/>
      <c r="H27" s="5"/>
      <c r="I27" s="7"/>
    </row>
    <row r="28" spans="1:9">
      <c r="A28" s="5">
        <v>25</v>
      </c>
      <c r="B28" s="38"/>
      <c r="C28" s="7" t="s">
        <v>132</v>
      </c>
      <c r="D28" s="7" t="s">
        <v>133</v>
      </c>
      <c r="E28" s="7" t="s">
        <v>131</v>
      </c>
      <c r="F28" s="5"/>
      <c r="G28" s="5"/>
      <c r="H28" s="5"/>
      <c r="I28" s="7"/>
    </row>
    <row r="29" spans="1:9">
      <c r="A29" s="5">
        <v>26</v>
      </c>
      <c r="B29" s="38"/>
      <c r="C29" s="7" t="s">
        <v>134</v>
      </c>
      <c r="D29" s="7" t="s">
        <v>135</v>
      </c>
      <c r="E29" s="7" t="s">
        <v>131</v>
      </c>
      <c r="F29" s="5"/>
      <c r="G29" s="5"/>
      <c r="H29" s="5"/>
      <c r="I29" s="7"/>
    </row>
    <row r="30" spans="1:9">
      <c r="A30" s="5">
        <v>27</v>
      </c>
      <c r="B30" s="38"/>
      <c r="C30" s="7" t="s">
        <v>136</v>
      </c>
      <c r="D30" s="7" t="s">
        <v>137</v>
      </c>
      <c r="E30" s="7" t="s">
        <v>131</v>
      </c>
      <c r="F30" s="5"/>
      <c r="G30" s="5"/>
      <c r="H30" s="5"/>
      <c r="I30" s="7"/>
    </row>
    <row r="31" spans="1:9" ht="15" customHeight="1">
      <c r="A31" s="5">
        <v>28</v>
      </c>
      <c r="B31" s="38" t="s">
        <v>138</v>
      </c>
      <c r="C31" s="7" t="s">
        <v>139</v>
      </c>
      <c r="D31" s="7" t="s">
        <v>140</v>
      </c>
      <c r="E31" s="7" t="s">
        <v>141</v>
      </c>
      <c r="F31" s="5"/>
      <c r="G31" s="5"/>
      <c r="H31" s="5"/>
      <c r="I31" s="7"/>
    </row>
    <row r="32" spans="1:9">
      <c r="A32" s="5">
        <v>29</v>
      </c>
      <c r="B32" s="38"/>
      <c r="C32" s="7" t="s">
        <v>142</v>
      </c>
      <c r="D32" s="7" t="s">
        <v>143</v>
      </c>
      <c r="E32" s="7" t="s">
        <v>141</v>
      </c>
      <c r="F32" s="5"/>
      <c r="G32" s="5"/>
      <c r="H32" s="5"/>
      <c r="I32" s="7"/>
    </row>
    <row r="33" spans="1:9" ht="26.4">
      <c r="A33" s="5">
        <v>30</v>
      </c>
      <c r="B33" s="38"/>
      <c r="C33" s="7" t="s">
        <v>144</v>
      </c>
      <c r="D33" s="7" t="s">
        <v>145</v>
      </c>
      <c r="E33" s="7" t="s">
        <v>141</v>
      </c>
      <c r="F33" s="5"/>
      <c r="G33" s="5"/>
      <c r="H33" s="5"/>
      <c r="I33" s="7"/>
    </row>
    <row r="34" spans="1:9">
      <c r="A34" s="5">
        <v>31</v>
      </c>
      <c r="B34" s="38"/>
      <c r="C34" s="7" t="s">
        <v>146</v>
      </c>
      <c r="D34" s="7" t="s">
        <v>147</v>
      </c>
      <c r="E34" s="7" t="s">
        <v>141</v>
      </c>
      <c r="F34" s="5"/>
      <c r="G34" s="5"/>
      <c r="H34" s="5"/>
      <c r="I34" s="7"/>
    </row>
    <row r="35" spans="1:9">
      <c r="A35" s="5">
        <v>32</v>
      </c>
      <c r="B35" s="38"/>
      <c r="C35" s="7" t="s">
        <v>148</v>
      </c>
      <c r="D35" s="7" t="s">
        <v>149</v>
      </c>
      <c r="E35" s="7" t="s">
        <v>141</v>
      </c>
      <c r="F35" s="5"/>
      <c r="G35" s="5"/>
      <c r="H35" s="5"/>
      <c r="I35" s="7"/>
    </row>
    <row r="36" spans="1:9" ht="26.4">
      <c r="A36" s="5">
        <v>33</v>
      </c>
      <c r="B36" s="38"/>
      <c r="C36" s="7" t="s">
        <v>150</v>
      </c>
      <c r="D36" s="7" t="s">
        <v>151</v>
      </c>
      <c r="E36" s="7" t="s">
        <v>141</v>
      </c>
      <c r="F36" s="5"/>
      <c r="G36" s="5"/>
      <c r="H36" s="5"/>
      <c r="I36" s="7"/>
    </row>
    <row r="37" spans="1:9">
      <c r="A37" s="5">
        <v>34</v>
      </c>
      <c r="B37" s="38"/>
      <c r="C37" s="7" t="s">
        <v>152</v>
      </c>
      <c r="D37" s="7" t="s">
        <v>153</v>
      </c>
      <c r="E37" s="7" t="s">
        <v>141</v>
      </c>
      <c r="F37" s="5"/>
      <c r="G37" s="5"/>
      <c r="H37" s="5"/>
      <c r="I37" s="7"/>
    </row>
    <row r="38" spans="1:9">
      <c r="A38" s="5">
        <v>35</v>
      </c>
      <c r="B38" s="8" t="s">
        <v>154</v>
      </c>
      <c r="C38" s="7" t="s">
        <v>155</v>
      </c>
      <c r="D38" s="7" t="s">
        <v>156</v>
      </c>
      <c r="E38" s="7" t="s">
        <v>157</v>
      </c>
      <c r="F38" s="5"/>
      <c r="G38" s="5"/>
      <c r="H38" s="5"/>
      <c r="I38" s="7"/>
    </row>
    <row r="39" spans="1:9" ht="15" customHeight="1">
      <c r="A39" s="5">
        <v>36</v>
      </c>
      <c r="B39" s="38" t="s">
        <v>158</v>
      </c>
      <c r="C39" s="7" t="s">
        <v>159</v>
      </c>
      <c r="D39" s="7" t="s">
        <v>160</v>
      </c>
      <c r="E39" s="7" t="s">
        <v>161</v>
      </c>
      <c r="F39" s="5"/>
      <c r="G39" s="5"/>
      <c r="H39" s="5"/>
      <c r="I39" s="7"/>
    </row>
    <row r="40" spans="1:9" ht="26.4">
      <c r="A40" s="5">
        <v>37</v>
      </c>
      <c r="B40" s="38"/>
      <c r="C40" s="7" t="s">
        <v>162</v>
      </c>
      <c r="D40" s="6" t="s">
        <v>163</v>
      </c>
      <c r="E40" s="7" t="s">
        <v>161</v>
      </c>
      <c r="F40" s="5"/>
      <c r="G40" s="5"/>
      <c r="H40" s="5"/>
      <c r="I40" s="7"/>
    </row>
    <row r="41" spans="1:9" ht="15" customHeight="1">
      <c r="A41" s="5">
        <v>38</v>
      </c>
      <c r="B41" s="38" t="s">
        <v>164</v>
      </c>
      <c r="C41" s="7" t="s">
        <v>165</v>
      </c>
      <c r="D41" s="7" t="s">
        <v>166</v>
      </c>
      <c r="E41" s="7" t="s">
        <v>167</v>
      </c>
      <c r="F41" s="5"/>
      <c r="G41" s="5"/>
      <c r="H41" s="5"/>
      <c r="I41" s="7"/>
    </row>
    <row r="42" spans="1:9">
      <c r="A42" s="5">
        <v>39</v>
      </c>
      <c r="B42" s="38"/>
      <c r="C42" s="7" t="s">
        <v>168</v>
      </c>
      <c r="D42" s="7" t="s">
        <v>169</v>
      </c>
      <c r="E42" s="7" t="s">
        <v>167</v>
      </c>
      <c r="F42" s="5"/>
      <c r="G42" s="5"/>
      <c r="H42" s="5"/>
      <c r="I42" s="7"/>
    </row>
    <row r="43" spans="1:9" ht="15" customHeight="1">
      <c r="A43" s="5">
        <v>40</v>
      </c>
      <c r="B43" s="38" t="s">
        <v>170</v>
      </c>
      <c r="C43" s="7" t="s">
        <v>171</v>
      </c>
      <c r="D43" s="7" t="s">
        <v>172</v>
      </c>
      <c r="E43" s="7" t="s">
        <v>173</v>
      </c>
      <c r="F43" s="5"/>
      <c r="G43" s="5"/>
      <c r="H43" s="5"/>
      <c r="I43" s="7"/>
    </row>
    <row r="44" spans="1:9">
      <c r="A44" s="5">
        <v>41</v>
      </c>
      <c r="B44" s="38"/>
      <c r="C44" s="7" t="s">
        <v>174</v>
      </c>
      <c r="D44" s="7" t="s">
        <v>175</v>
      </c>
      <c r="E44" s="7" t="s">
        <v>173</v>
      </c>
      <c r="F44" s="5"/>
      <c r="G44" s="5"/>
      <c r="H44" s="5"/>
      <c r="I44" s="7"/>
    </row>
    <row r="45" spans="1:9">
      <c r="A45" s="5">
        <v>42</v>
      </c>
      <c r="B45" s="38"/>
      <c r="C45" s="7" t="s">
        <v>176</v>
      </c>
      <c r="D45" s="7" t="s">
        <v>177</v>
      </c>
      <c r="E45" s="7" t="s">
        <v>173</v>
      </c>
      <c r="F45" s="5"/>
      <c r="G45" s="5"/>
      <c r="H45" s="5"/>
      <c r="I45" s="7"/>
    </row>
    <row r="46" spans="1:9">
      <c r="A46" s="5">
        <v>43</v>
      </c>
      <c r="B46" s="38"/>
      <c r="C46" s="7" t="s">
        <v>178</v>
      </c>
      <c r="D46" s="7" t="s">
        <v>179</v>
      </c>
      <c r="E46" s="7" t="s">
        <v>173</v>
      </c>
      <c r="F46" s="5"/>
      <c r="G46" s="5"/>
      <c r="H46" s="5"/>
      <c r="I46" s="7"/>
    </row>
    <row r="47" spans="1:9" ht="15" customHeight="1">
      <c r="A47" s="5">
        <v>44</v>
      </c>
      <c r="B47" s="38" t="s">
        <v>180</v>
      </c>
      <c r="C47" s="7" t="s">
        <v>181</v>
      </c>
      <c r="D47" s="7" t="s">
        <v>182</v>
      </c>
      <c r="E47" s="7" t="s">
        <v>183</v>
      </c>
      <c r="F47" s="5"/>
      <c r="G47" s="5"/>
      <c r="H47" s="5"/>
      <c r="I47" s="7"/>
    </row>
    <row r="48" spans="1:9" ht="26.4">
      <c r="A48" s="5">
        <v>45</v>
      </c>
      <c r="B48" s="38"/>
      <c r="C48" s="7" t="s">
        <v>184</v>
      </c>
      <c r="D48" s="7" t="s">
        <v>185</v>
      </c>
      <c r="E48" s="7" t="s">
        <v>186</v>
      </c>
      <c r="F48" s="5"/>
      <c r="G48" s="5"/>
      <c r="H48" s="5"/>
      <c r="I48" s="7"/>
    </row>
    <row r="49" spans="1:9">
      <c r="A49" s="5">
        <v>46</v>
      </c>
      <c r="B49" s="38"/>
      <c r="C49" s="7" t="s">
        <v>187</v>
      </c>
      <c r="D49" s="7" t="s">
        <v>188</v>
      </c>
      <c r="E49" s="7" t="s">
        <v>183</v>
      </c>
      <c r="F49" s="5"/>
      <c r="G49" s="5"/>
      <c r="H49" s="5"/>
      <c r="I49" s="7"/>
    </row>
    <row r="50" spans="1:9" ht="26.85" customHeight="1">
      <c r="A50" s="5">
        <v>47</v>
      </c>
      <c r="B50" s="38" t="s">
        <v>189</v>
      </c>
      <c r="C50" s="7" t="s">
        <v>190</v>
      </c>
      <c r="D50" s="7" t="s">
        <v>191</v>
      </c>
      <c r="E50" s="7" t="s">
        <v>56</v>
      </c>
      <c r="F50" s="5"/>
      <c r="G50" s="5"/>
      <c r="H50" s="5"/>
      <c r="I50" s="7"/>
    </row>
    <row r="51" spans="1:9">
      <c r="A51" s="5">
        <v>48</v>
      </c>
      <c r="B51" s="38"/>
      <c r="C51" s="7" t="s">
        <v>192</v>
      </c>
      <c r="D51" s="7" t="s">
        <v>193</v>
      </c>
      <c r="E51" s="7" t="s">
        <v>56</v>
      </c>
      <c r="F51" s="5"/>
      <c r="G51" s="5"/>
      <c r="H51" s="5"/>
      <c r="I51" s="7"/>
    </row>
    <row r="52" spans="1:9">
      <c r="A52" s="5">
        <v>49</v>
      </c>
      <c r="B52" s="38"/>
      <c r="C52" s="7" t="s">
        <v>194</v>
      </c>
      <c r="D52" s="7" t="s">
        <v>195</v>
      </c>
      <c r="E52" s="7" t="s">
        <v>56</v>
      </c>
      <c r="F52" s="5"/>
      <c r="G52" s="5"/>
      <c r="H52" s="5"/>
      <c r="I52" s="7"/>
    </row>
    <row r="53" spans="1:9" ht="15" customHeight="1">
      <c r="A53" s="5">
        <v>50</v>
      </c>
      <c r="B53" s="38" t="s">
        <v>196</v>
      </c>
      <c r="C53" s="7" t="s">
        <v>197</v>
      </c>
      <c r="D53" s="7" t="s">
        <v>198</v>
      </c>
      <c r="E53" s="7" t="s">
        <v>199</v>
      </c>
      <c r="F53" s="5"/>
      <c r="G53" s="5"/>
      <c r="H53" s="5"/>
      <c r="I53" s="7"/>
    </row>
    <row r="54" spans="1:9">
      <c r="A54" s="5">
        <v>51</v>
      </c>
      <c r="B54" s="38"/>
      <c r="C54" s="7" t="s">
        <v>200</v>
      </c>
      <c r="D54" s="7" t="s">
        <v>201</v>
      </c>
      <c r="E54" s="7" t="s">
        <v>199</v>
      </c>
      <c r="F54" s="5"/>
      <c r="G54" s="5"/>
      <c r="H54" s="5"/>
      <c r="I54" s="7"/>
    </row>
    <row r="55" spans="1:9" ht="15" customHeight="1">
      <c r="A55" s="37" t="s">
        <v>202</v>
      </c>
      <c r="B55" s="37"/>
      <c r="C55" s="37"/>
      <c r="D55" s="37"/>
      <c r="E55" s="37"/>
      <c r="F55" s="37"/>
      <c r="G55" s="37"/>
      <c r="H55" s="37"/>
      <c r="I55" s="37"/>
    </row>
  </sheetData>
  <mergeCells count="17">
    <mergeCell ref="A1:I1"/>
    <mergeCell ref="A2:I2"/>
    <mergeCell ref="B4:B7"/>
    <mergeCell ref="B8:B14"/>
    <mergeCell ref="B15:B17"/>
    <mergeCell ref="B18:B21"/>
    <mergeCell ref="B22:B24"/>
    <mergeCell ref="B25:B26"/>
    <mergeCell ref="B27:B30"/>
    <mergeCell ref="B31:B37"/>
    <mergeCell ref="B53:B54"/>
    <mergeCell ref="A55:I55"/>
    <mergeCell ref="B39:B40"/>
    <mergeCell ref="B41:B42"/>
    <mergeCell ref="B43:B46"/>
    <mergeCell ref="B47:B49"/>
    <mergeCell ref="B50:B52"/>
  </mergeCells>
  <phoneticPr fontId="13" type="noConversion"/>
  <dataValidations count="1">
    <dataValidation type="list" allowBlank="1" errorTitle="无效输入" error="请从下拉列表选择：通过 / 不通过 / 不适用" sqref="F4:F54" xr:uid="{00000000-0002-0000-0200-000000000000}">
      <formula1>"通过,不通过,不适用"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Normal="100" workbookViewId="0">
      <selection sqref="A1:F1"/>
    </sheetView>
  </sheetViews>
  <sheetFormatPr defaultColWidth="8.6640625" defaultRowHeight="14.4"/>
  <cols>
    <col min="1" max="1" width="20" customWidth="1"/>
    <col min="2" max="5" width="14" customWidth="1"/>
    <col min="6" max="6" width="16" customWidth="1"/>
  </cols>
  <sheetData>
    <row r="1" spans="1:6" ht="17.399999999999999">
      <c r="A1" s="41" t="s">
        <v>203</v>
      </c>
      <c r="B1" s="41"/>
      <c r="C1" s="41"/>
      <c r="D1" s="41"/>
      <c r="E1" s="41"/>
      <c r="F1" s="41"/>
    </row>
    <row r="3" spans="1:6" ht="19.5" customHeight="1">
      <c r="A3" s="4" t="s">
        <v>204</v>
      </c>
      <c r="B3" s="4" t="s">
        <v>205</v>
      </c>
      <c r="C3" s="4" t="s">
        <v>206</v>
      </c>
      <c r="D3" s="4" t="s">
        <v>207</v>
      </c>
      <c r="E3" s="4" t="s">
        <v>208</v>
      </c>
      <c r="F3" s="4" t="s">
        <v>209</v>
      </c>
    </row>
    <row r="4" spans="1:6">
      <c r="A4" s="9" t="s">
        <v>210</v>
      </c>
      <c r="B4" s="5">
        <f>COUNTA(硬件测试项!A5:A27)</f>
        <v>0</v>
      </c>
      <c r="C4" s="5">
        <f>COUNTIF(硬件测试项!F5:F27,"通过")</f>
        <v>0</v>
      </c>
      <c r="D4" s="5">
        <f>COUNTIF(硬件测试项!F5:F27,"不通过")</f>
        <v>0</v>
      </c>
      <c r="E4" s="5">
        <f>COUNTIF(硬件测试项!F5:F27,"不适用")</f>
        <v>0</v>
      </c>
      <c r="F4" s="10">
        <f>IFERROR(C4/(B4-E4),0)*100</f>
        <v>0</v>
      </c>
    </row>
    <row r="5" spans="1:6">
      <c r="A5" s="9" t="s">
        <v>211</v>
      </c>
      <c r="B5" s="5">
        <f>COUNTA(软件功能测试项!A4:A54)</f>
        <v>51</v>
      </c>
      <c r="C5" s="5">
        <f>COUNTIF(软件功能测试项!F4:F54,"通过")</f>
        <v>0</v>
      </c>
      <c r="D5" s="5">
        <f>COUNTIF(软件功能测试项!F4:F54,"不通过")</f>
        <v>0</v>
      </c>
      <c r="E5" s="5">
        <f>COUNTIF(软件功能测试项!F4:F54,"不适用")</f>
        <v>0</v>
      </c>
      <c r="F5" s="10">
        <f>IFERROR(C5/(B5-E5),0)*100</f>
        <v>0</v>
      </c>
    </row>
    <row r="6" spans="1:6">
      <c r="A6" s="11" t="s">
        <v>212</v>
      </c>
      <c r="B6" s="12">
        <f>SUM(B4:B5)</f>
        <v>51</v>
      </c>
      <c r="C6" s="12">
        <f>SUM(C4:C5)</f>
        <v>0</v>
      </c>
      <c r="D6" s="12">
        <f>SUM(D4:D5)</f>
        <v>0</v>
      </c>
      <c r="E6" s="12">
        <f>SUM(E4:E5)</f>
        <v>0</v>
      </c>
      <c r="F6" s="13">
        <f>IFERROR(C6/(B6-E6),0)*100</f>
        <v>0</v>
      </c>
    </row>
    <row r="8" spans="1:6" ht="26.85" customHeight="1">
      <c r="A8" s="42" t="s">
        <v>213</v>
      </c>
      <c r="B8" s="42"/>
      <c r="C8" s="42"/>
      <c r="D8" s="42"/>
      <c r="E8" s="42"/>
      <c r="F8" s="42"/>
    </row>
    <row r="10" spans="1:6">
      <c r="A10" s="14" t="s">
        <v>214</v>
      </c>
      <c r="C10" s="14" t="s">
        <v>215</v>
      </c>
      <c r="E10" s="14" t="s">
        <v>216</v>
      </c>
    </row>
  </sheetData>
  <mergeCells count="2">
    <mergeCell ref="A1:F1"/>
    <mergeCell ref="A8:F8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测试计划说明</vt:lpstr>
      <vt:lpstr>硬件测试项</vt:lpstr>
      <vt:lpstr>活细胞成像工作站测试计划</vt:lpstr>
      <vt:lpstr>软件功能测试项</vt:lpstr>
      <vt:lpstr>测试结果汇总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AN486@megarobo.local</cp:lastModifiedBy>
  <cp:revision>0</cp:revision>
  <dcterms:created xsi:type="dcterms:W3CDTF">2026-07-24T13:20:48Z</dcterms:created>
  <dcterms:modified xsi:type="dcterms:W3CDTF">2026-07-28T12:03:00Z</dcterms:modified>
  <dc:language>en-US</dc:language>
</cp:coreProperties>
</file>